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rlssource-my.sharepoint.com/personal/rsan_rlssource_com/Documents/📁 RLS Workspace HQ/01_ACTIVE_PROJECTS/the_licensing_labyrinth_Microsfts_madness/"/>
    </mc:Choice>
  </mc:AlternateContent>
  <xr:revisionPtr revIDLastSave="81" documentId="8_{0155E917-C2ED-42E7-ABCF-F42D7C4E0454}" xr6:coauthVersionLast="47" xr6:coauthVersionMax="47" xr10:uidLastSave="{F6854F5D-37FC-4832-A441-8208E7B6F40B}"/>
  <bookViews>
    <workbookView xWindow="14880" yWindow="270" windowWidth="27300" windowHeight="19995" xr2:uid="{29C2971B-5C58-4E8D-AE80-1A778B213750}"/>
  </bookViews>
  <sheets>
    <sheet name="Cover" sheetId="1" r:id="rId1"/>
    <sheet name="Data" sheetId="2" r:id="rId2"/>
    <sheet name="Analysis" sheetId="3" r:id="rId3"/>
    <sheet name="Dashboard" sheetId="4" r:id="rId4"/>
    <sheet name="SQL" sheetId="5" r:id="rId5"/>
    <sheet name="BI Guide"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5" i="4" l="1"/>
  <c r="J5" i="4"/>
  <c r="H5" i="4"/>
  <c r="F5" i="4"/>
  <c r="D5" i="4"/>
  <c r="B5" i="4"/>
  <c r="M6" i="3"/>
  <c r="N6" i="3"/>
  <c r="M7" i="3"/>
  <c r="N7" i="3"/>
  <c r="M8" i="3"/>
  <c r="N8" i="3"/>
  <c r="M9" i="3"/>
  <c r="N9" i="3"/>
  <c r="M10" i="3"/>
  <c r="N10" i="3"/>
  <c r="M11" i="3"/>
  <c r="N11" i="3"/>
  <c r="M12" i="3"/>
  <c r="N12" i="3"/>
  <c r="M13" i="3"/>
  <c r="N13" i="3"/>
  <c r="M14" i="3"/>
  <c r="N14" i="3"/>
  <c r="M15" i="3"/>
  <c r="N15" i="3"/>
  <c r="M16" i="3"/>
  <c r="N16" i="3"/>
  <c r="M17" i="3"/>
  <c r="N17" i="3"/>
  <c r="K13" i="3"/>
  <c r="J13" i="3"/>
  <c r="K12" i="3"/>
  <c r="J12" i="3"/>
  <c r="K11" i="3"/>
  <c r="J11" i="3"/>
  <c r="K10" i="3"/>
  <c r="J10" i="3"/>
  <c r="K9" i="3"/>
  <c r="J9" i="3"/>
  <c r="K8" i="3"/>
  <c r="J8" i="3"/>
  <c r="K7" i="3"/>
  <c r="J7" i="3"/>
  <c r="K6" i="3"/>
  <c r="J6" i="3"/>
  <c r="C27" i="3"/>
  <c r="C26" i="3"/>
  <c r="D22" i="3"/>
  <c r="C22" i="3"/>
  <c r="D21" i="3"/>
  <c r="C21" i="3"/>
  <c r="F28" i="3"/>
  <c r="F27" i="3"/>
  <c r="F26" i="3"/>
  <c r="F25" i="3"/>
  <c r="F24" i="3"/>
  <c r="F23" i="3"/>
  <c r="F22" i="3"/>
  <c r="F21" i="3"/>
  <c r="F20" i="3"/>
  <c r="F19" i="3"/>
  <c r="H13" i="3"/>
  <c r="G13" i="3"/>
  <c r="F13" i="3"/>
  <c r="H12" i="3"/>
  <c r="G12" i="3"/>
  <c r="F12" i="3"/>
  <c r="H11" i="3"/>
  <c r="G11" i="3"/>
  <c r="F11" i="3"/>
  <c r="H10" i="3"/>
  <c r="G10" i="3"/>
  <c r="F10" i="3"/>
  <c r="H9" i="3"/>
  <c r="G9" i="3"/>
  <c r="F9" i="3"/>
  <c r="H8" i="3"/>
  <c r="G8" i="3"/>
  <c r="F8" i="3"/>
  <c r="H7" i="3"/>
  <c r="G7" i="3"/>
  <c r="F7" i="3"/>
  <c r="H6" i="3"/>
  <c r="G6" i="3"/>
  <c r="F6" i="3"/>
  <c r="C16" i="3"/>
  <c r="C15" i="3"/>
  <c r="C14" i="3"/>
  <c r="C13" i="3"/>
  <c r="C12" i="3"/>
  <c r="C11" i="3"/>
  <c r="C10" i="3"/>
  <c r="C9" i="3"/>
  <c r="C8" i="3"/>
  <c r="C7" i="3"/>
  <c r="C6" i="3"/>
  <c r="C5" i="3"/>
  <c r="C28" i="2"/>
  <c r="C27" i="2"/>
  <c r="C26" i="2"/>
  <c r="C25" i="2"/>
  <c r="C24" i="2"/>
  <c r="C23" i="2"/>
  <c r="C22" i="2"/>
  <c r="C21" i="2"/>
  <c r="C20" i="2"/>
  <c r="C19" i="2"/>
  <c r="C18" i="2"/>
  <c r="C17" i="2"/>
  <c r="C16" i="2"/>
  <c r="C15" i="2"/>
  <c r="C14" i="2"/>
  <c r="C13" i="2"/>
  <c r="C12" i="2"/>
  <c r="C11" i="2"/>
  <c r="C10" i="2"/>
  <c r="C9" i="2"/>
  <c r="C8" i="2"/>
  <c r="C7" i="2"/>
  <c r="C6" i="2"/>
  <c r="C5" i="2"/>
  <c r="H14" i="3" l="1"/>
  <c r="G14" i="3"/>
  <c r="F14" i="3"/>
</calcChain>
</file>

<file path=xl/sharedStrings.xml><?xml version="1.0" encoding="utf-8"?>
<sst xmlns="http://schemas.openxmlformats.org/spreadsheetml/2006/main" count="380" uniqueCount="220">
  <si>
    <t>RLS//DATA</t>
  </si>
  <si>
    <t>THE LICENSING LABYRINTH</t>
  </si>
  <si>
    <t>A Data-Driven Case Study on Microsoft Licensing Complexity</t>
  </si>
  <si>
    <t>“Where Data Meets Bureaucracy — And Only One Survives.”</t>
  </si>
  <si>
    <t>Overview</t>
  </si>
  <si>
    <t>This project analyzes the real-world friction of stacking Microsoft products into one workflow — the licensing “walls”, billing-system mismatches (MCA vs Microsoft 365 Commerce), and misleading admin-center errors encountered while trying to activate Power BI Premium Per User (PPU) and Copilot. It combines data analysis, SQL, UX mapping, and storytelling.</t>
  </si>
  <si>
    <t>Prepared by</t>
  </si>
  <si>
    <t>Ruben Santana  —  Data Analyst | Professional Licensing Survivor</t>
  </si>
  <si>
    <t>Date</t>
  </si>
  <si>
    <t>Data Dictionary</t>
  </si>
  <si>
    <t>Table</t>
  </si>
  <si>
    <t>Field</t>
  </si>
  <si>
    <t>Type</t>
  </si>
  <si>
    <t>Description</t>
  </si>
  <si>
    <t>licensing_attempts</t>
  </si>
  <si>
    <t>attempt_id</t>
  </si>
  <si>
    <t>INT</t>
  </si>
  <si>
    <t>Sequential ID of each licensing attempt</t>
  </si>
  <si>
    <t>license</t>
  </si>
  <si>
    <t>TEXT</t>
  </si>
  <si>
    <t>Microsoft product/SKU the user tried to acquire</t>
  </si>
  <si>
    <t>result</t>
  </si>
  <si>
    <t>Outcome: Success or Failed</t>
  </si>
  <si>
    <t>error_message</t>
  </si>
  <si>
    <t>Error/blocker returned by the admin center</t>
  </si>
  <si>
    <t>time_lost_min</t>
  </si>
  <si>
    <t>Minutes lost on the attempt</t>
  </si>
  <si>
    <t>frustration_scores</t>
  </si>
  <si>
    <t>step</t>
  </si>
  <si>
    <t>Stage in the licensing journey</t>
  </si>
  <si>
    <t>frustration_score</t>
  </si>
  <si>
    <t>Self-reported frustration, scale 1-10</t>
  </si>
  <si>
    <t>Source Data</t>
  </si>
  <si>
    <t>Power BI PPU</t>
  </si>
  <si>
    <t>Failed</t>
  </si>
  <si>
    <t>Not eligible</t>
  </si>
  <si>
    <t>Power BI Pro</t>
  </si>
  <si>
    <t>PPU Add-On</t>
  </si>
  <si>
    <t>Requires Pro</t>
  </si>
  <si>
    <t>Business Basic</t>
  </si>
  <si>
    <t>Success</t>
  </si>
  <si>
    <t>Assigned</t>
  </si>
  <si>
    <t>PPU (after Basic)</t>
  </si>
  <si>
    <t>MCA billing block</t>
  </si>
  <si>
    <t>Missing Purchase Services</t>
  </si>
  <si>
    <t>Conflicting documentation</t>
  </si>
  <si>
    <t>Decision to contact support</t>
  </si>
  <si>
    <t>Analysis</t>
  </si>
  <si>
    <t>Key Metrics</t>
  </si>
  <si>
    <t>Total attempts</t>
  </si>
  <si>
    <t>Failed attempts</t>
  </si>
  <si>
    <t>Successful attempts</t>
  </si>
  <si>
    <t>Success rate</t>
  </si>
  <si>
    <t>Total minutes lost (failed)</t>
  </si>
  <si>
    <t>Total minutes lost (all)</t>
  </si>
  <si>
    <t>Avg frustration score</t>
  </si>
  <si>
    <t>Peak frustration score</t>
  </si>
  <si>
    <t>occurrences</t>
  </si>
  <si>
    <t>Total</t>
  </si>
  <si>
    <t>THE LICENSING LABYRINTH  —  Dashboard</t>
  </si>
  <si>
    <t>Total Attempts</t>
  </si>
  <si>
    <t>Failed Attempts</t>
  </si>
  <si>
    <t>Avg Frustration</t>
  </si>
  <si>
    <t>Stage 2 — SQL Scripts</t>
  </si>
  <si>
    <t>-- 1. SCHEMA</t>
  </si>
  <si>
    <t>-- 2. DATA</t>
  </si>
  <si>
    <t>-- 3. ANALYSIS QUERIES</t>
  </si>
  <si>
    <t>-- Q2: Most common error message
SELECT error_message, COUNT(*) AS occurrences
FROM licensing_attempts
GROUP BY error_message
ORDER BY occurrences DESC;</t>
  </si>
  <si>
    <t>Stage 3 — Power BI / Tableau Build Guide</t>
  </si>
  <si>
    <t>1) Data Model</t>
  </si>
  <si>
    <t>2) Measures</t>
  </si>
  <si>
    <t>Measure</t>
  </si>
  <si>
    <t>Power BI (DAX)</t>
  </si>
  <si>
    <t>Tableau (calculated field)</t>
  </si>
  <si>
    <t>Total Attempts = COUNTROWS(licensing_attempts)</t>
  </si>
  <si>
    <t>COUNT([Attempt Id])</t>
  </si>
  <si>
    <t>SUM(IF [Result]="Failed" THEN 1 ELSE 0 END)</t>
  </si>
  <si>
    <t>Avg Frustration = AVERAGE(frustration_scores[frustration_score])</t>
  </si>
  <si>
    <t>AVG([Frustration Score])</t>
  </si>
  <si>
    <t>Visual</t>
  </si>
  <si>
    <t>Fields</t>
  </si>
  <si>
    <t>Card</t>
  </si>
  <si>
    <t>Clustered column</t>
  </si>
  <si>
    <t>Frustration over journey</t>
  </si>
  <si>
    <t>Line</t>
  </si>
  <si>
    <t>Error distribution</t>
  </si>
  <si>
    <t>Donut</t>
  </si>
  <si>
    <t>Licensing journey flow</t>
  </si>
  <si>
    <t>Slicers</t>
  </si>
  <si>
    <t>Slicer</t>
  </si>
  <si>
    <t>4) Theme</t>
  </si>
  <si>
    <t>attempt_date</t>
  </si>
  <si>
    <t>product</t>
  </si>
  <si>
    <t>category</t>
  </si>
  <si>
    <t>billing_account</t>
  </si>
  <si>
    <t>support_contacted</t>
  </si>
  <si>
    <t>Analytics</t>
  </si>
  <si>
    <t>MCA</t>
  </si>
  <si>
    <t>No</t>
  </si>
  <si>
    <t>Core M365</t>
  </si>
  <si>
    <t>M365 Commerce</t>
  </si>
  <si>
    <t>Yes</t>
  </si>
  <si>
    <t>Copilot for M365</t>
  </si>
  <si>
    <t>AI</t>
  </si>
  <si>
    <t>Requires base license</t>
  </si>
  <si>
    <t>Copilot Pro</t>
  </si>
  <si>
    <t>Teams Premium</t>
  </si>
  <si>
    <t>Collaboration</t>
  </si>
  <si>
    <t>Purchase services missing</t>
  </si>
  <si>
    <t>Viva Suite</t>
  </si>
  <si>
    <t>Microsoft Fabric</t>
  </si>
  <si>
    <t>Region not supported</t>
  </si>
  <si>
    <t>Power Automate Premium</t>
  </si>
  <si>
    <t>Automation</t>
  </si>
  <si>
    <t>Power Apps Premium</t>
  </si>
  <si>
    <t>Business Standard</t>
  </si>
  <si>
    <t>Defender for Office P1</t>
  </si>
  <si>
    <t>Security</t>
  </si>
  <si>
    <t>Admin approval required</t>
  </si>
  <si>
    <t>Entra ID P2</t>
  </si>
  <si>
    <t>Visio Plan 2</t>
  </si>
  <si>
    <t>Apps</t>
  </si>
  <si>
    <t>Self-service disabled</t>
  </si>
  <si>
    <t>Project Plan 3</t>
  </si>
  <si>
    <t>Business Premium</t>
  </si>
  <si>
    <t>Copilot for M365 (retry)</t>
  </si>
  <si>
    <t>Teams Premium (retry)</t>
  </si>
  <si>
    <t>Power BI PPU (retry)</t>
  </si>
  <si>
    <t>Microsoft Fabric (retry)</t>
  </si>
  <si>
    <t>Dynamics 365 Sales</t>
  </si>
  <si>
    <t>CRM</t>
  </si>
  <si>
    <t>Billing conversion request</t>
  </si>
  <si>
    <t>Converted to M365 Commerce</t>
  </si>
  <si>
    <t>step_order</t>
  </si>
  <si>
    <t>phase</t>
  </si>
  <si>
    <t>Initial PPU attempt</t>
  </si>
  <si>
    <t>Discovery</t>
  </si>
  <si>
    <t>“Not eligible” error</t>
  </si>
  <si>
    <t>Troubleshooting</t>
  </si>
  <si>
    <t>Tried Power BI Pro</t>
  </si>
  <si>
    <t>Checked region &amp; self-service</t>
  </si>
  <si>
    <t>Discovered MCA billing</t>
  </si>
  <si>
    <t>Copilot also blocked</t>
  </si>
  <si>
    <t>Escalation</t>
  </si>
  <si>
    <t>Teams Premium blocked</t>
  </si>
  <si>
    <t>MCA billing block confirmed</t>
  </si>
  <si>
    <t>Awaiting billing conversion</t>
  </si>
  <si>
    <t>Resolution</t>
  </si>
  <si>
    <t>Hours lost (all)</t>
  </si>
  <si>
    <t>Avg time per failed attempt</t>
  </si>
  <si>
    <t>Support escalations</t>
  </si>
  <si>
    <t>% blocked by MCA billing</t>
  </si>
  <si>
    <t>By Category</t>
  </si>
  <si>
    <t>attempts</t>
  </si>
  <si>
    <t>failed</t>
  </si>
  <si>
    <t>time_lost</t>
  </si>
  <si>
    <t>By Error Message</t>
  </si>
  <si>
    <t>By Billing Account</t>
  </si>
  <si>
    <t>By Result</t>
  </si>
  <si>
    <t>Chart helpers</t>
  </si>
  <si>
    <t>frustration</t>
  </si>
  <si>
    <t>Hours Lost</t>
  </si>
  <si>
    <t>% MCA Blocked</t>
  </si>
  <si>
    <t>Escalations</t>
  </si>
  <si>
    <t>Run schema + inserts first, then the analysis queries. 24 licensing attempts, 12 journey steps.</t>
  </si>
  <si>
    <t>CREATE TABLE licensing_attempts (
    attempt_id        INT PRIMARY KEY,
    attempt_date      DATE,
    product           VARCHAR(60),
    category          VARCHAR(30),
    result            VARCHAR(20),
    error_message     VARCHAR(60),
    billing_account   VARCHAR(20),
    time_lost_min     INT,
    support_contacted VARCHAR(3)
);</t>
  </si>
  <si>
    <t>CREATE TABLE frustration_scores (
    step_order        INT PRIMARY KEY,
    step              VARCHAR(100),
    phase             VARCHAR(30),
    frustration_score INT
);</t>
  </si>
  <si>
    <t>INSERT INTO licensing_attempts
(attempt_id, attempt_date, product, category, result, error_message, billing_account, time_lost_min, support_contacted) VALUES
(1, '2026-06-02', 'Power BI PPU', 'Analytics', 'Failed', 'Not eligible', 'MCA', 15, 'No'),
(2, '2026-06-02', 'Power BI Pro', 'Analytics', 'Failed', 'Not eligible', 'MCA', 10, 'No'),
(3, '2026-06-03', 'PPU Add-On', 'Analytics', 'Failed', 'Requires Pro', 'MCA', 8, 'No'),
(4, '2026-06-03', 'Business Basic', 'Core M365', 'Success', 'Assigned', 'M365 Commerce', 5, 'No'),
(5, '2026-06-04', 'PPU (after Basic)', 'Analytics', 'Failed', 'MCA billing block', 'MCA', 20, 'Yes'),
(6, '2026-06-04', 'Copilot for M365', 'AI', 'Failed', 'Requires base license', 'MCA', 25, 'No'),
(7, '2026-06-05', 'Copilot Pro', 'AI', 'Failed', 'MCA billing block', 'MCA', 18, 'No'),
(8, '2026-06-05', 'Teams Premium', 'Collaboration', 'Failed', 'Purchase services missing', 'MCA', 12, 'No'),
(9, '2026-06-06', 'Viva Suite', 'Collaboration', 'Failed', 'Not eligible', 'MCA', 14, 'No'),
(10, '2026-06-06', 'Microsoft Fabric', 'Analytics', 'Failed', 'Region not supported', 'MCA', 22, 'Yes'),
(11, '2026-06-08', 'Power Automate Premium', 'Automation', 'Failed', 'Requires base license', 'MCA', 16, 'No'),
(12, '2026-06-08', 'Power Apps Premium', 'Automation', 'Failed', 'Not eligible', 'MCA', 11, 'No'),
(13, '2026-06-09', 'Business Standard', 'Core M365', 'Success', 'Assigned', 'M365 Commerce', 6, 'No'),
(14, '2026-06-09', 'Defender for Office P1', 'Security', 'Failed', 'Admin approval required', 'MCA', 9, 'No'),
(15, '2026-06-10', 'Entra ID P2', 'Security', 'Failed', 'MCA billing block', 'MCA', 13, 'No'),
(16, '2026-06-10', 'Visio Plan 2', 'Apps', 'Failed', 'Self-service disabled', 'MCA', 7, 'No'),
(17, '2026-06-11', 'Project Plan 3', 'Apps', 'Failed', 'Self-service disabled', 'MCA', 8, 'No'),
(18, '2026-06-12', 'Business Premium', 'Core M365', 'Success', 'Assigned', 'M365 Commerce', 6, 'No'),
(19, '2026-06-12', 'Copilot for M365 (retry)', 'AI', 'Failed', 'MCA billing block', 'MCA', 30, 'Yes'),
(20, '2026-06-15', 'Teams Premium (retry)', 'Collaboration', 'Failed', 'MCA billing block', 'MCA', 24, 'Yes'),
(21, '2026-06-16', 'Power BI PPU (retry)', 'Analytics', 'Failed', 'Conflicting documentation', 'MCA', 28, 'Yes'),
(22, '2026-06-17', 'Microsoft Fabric (retry)', 'Analytics', 'Failed', 'MCA billing block', 'MCA', 26, 'Yes'),
(23, '2026-06-18', 'Dynamics 365 Sales', 'CRM', 'Failed', 'Requires base license', 'MCA', 15, 'No'),
(24, '2026-06-19', 'Billing conversion request', 'Core M365', 'Success', 'Converted to M365 Commerce', 'M365 Commerce', 45, 'Yes');</t>
  </si>
  <si>
    <t>INSERT INTO frustration_scores (step_order, step, phase, frustration_score) VALUES
(1,  'Initial PPU attempt',          'Discovery',       3),
(2,  '“Not eligible” error',           'Discovery',       4),
(3,  'Missing Purchase Services',    'Troubleshooting', 6),
(4,  'Tried Power BI Pro',           'Troubleshooting', 5),
(5,  'Conflicting documentation',    'Troubleshooting', 7),
(6,  'Checked region &amp; self-service','Troubleshooting', 6),
(7,  'Discovered MCA billing',       'Discovery',       8),
(8,  'Copilot also blocked',         'Escalation',      9),
(9,  'Teams Premium blocked',        'Escalation',      8),
(10, 'MCA billing block confirmed',  'Escalation',      9),
(11, 'Decision to contact support',  'Escalation',     10),
(12, 'Awaiting billing conversion',  'Resolution',      7);</t>
  </si>
  <si>
    <t>-- Q1: Total time lost on failed attempts
SELECT SUM(time_lost_min) AS total_minutes_lost,
       ROUND(SUM(time_lost_min)/60.0, 1) AS total_hours_lost
FROM licensing_attempts
WHERE result = 'Failed';</t>
  </si>
  <si>
    <t>-- Q3: Average frustration by phase
SELECT phase,
       ROUND(AVG(frustration_score), 1) AS avg_frustration,
       MAX(frustration_score) AS peak
FROM frustration_scores
GROUP BY phase
ORDER BY avg_frustration DESC;</t>
  </si>
  <si>
    <t>-- Q4: Time lost &amp; failure rate by category
SELECT category,
       COUNT(*) AS attempts,
       SUM(CASE WHEN result='Failed' THEN 1 ELSE 0 END) AS failed,
       SUM(time_lost_min) AS time_lost,
       ROUND(100.0*SUM(CASE WHEN result='Failed' THEN 1 ELSE 0 END)/COUNT(*),0) AS fail_pct
FROM licensing_attempts
GROUP BY category
ORDER BY time_lost DESC;</t>
  </si>
  <si>
    <t>-- Q5: Impact of billing account type
SELECT billing_account,
       COUNT(*) AS attempts,
       SUM(CASE WHEN result='Success' THEN 1 ELSE 0 END) AS successes,
       SUM(time_lost_min) AS time_lost
FROM licensing_attempts
GROUP BY billing_account;</t>
  </si>
  <si>
    <t>-- Q6: Did escalating to support correlate with time lost?
SELECT support_contacted,
       COUNT(*) AS attempts,
       ROUND(AVG(time_lost_min), 1) AS avg_time_lost
FROM licensing_attempts
GROUP BY support_contacted;</t>
  </si>
  <si>
    <t>-- Q7: Running frustration with window functions
SELECT step_order, step, phase, frustration_score,
       SUM(frustration_score) OVER (ORDER BY step_order) AS cumulative,
       frustration_score - LAG(frustration_score) OVER (ORDER BY step_order) AS delta_vs_prev
FROM frustration_scores
ORDER BY step_order;</t>
  </si>
  <si>
    <t>-- Q8: Failed attempts ranked by time wasted
SELECT product, category, error_message, time_lost_min,
       RANK() OVER (ORDER BY time_lost_min DESC) AS time_rank
FROM licensing_attempts
WHERE result = 'Failed';</t>
  </si>
  <si>
    <t>-- Q9: Daily cumulative time lost (the spiral)
SELECT attempt_date,
       SUM(time_lost_min) AS daily_time_lost,
       SUM(SUM(time_lost_min)) OVER (ORDER BY attempt_date) AS running_total
FROM licensing_attempts
GROUP BY attempt_date
ORDER BY attempt_date;</t>
  </si>
  <si>
    <t>Load the two Data-sheet tables (or the SQL DB from Stage 2), then build the measures and visuals below. DAX = Power BI; Tableau calculated-field equivalents in the last column.</t>
  </si>
  <si>
    <t>• Import licensing_attempts (24 rows) and frustration_scores (12 rows).</t>
  </si>
  <si>
    <t>• Two independent fact tables (no shared key) — keep separate; one report page per table, or use bookmarks to flip between them.</t>
  </si>
  <si>
    <t>• Mark frustration_scores[step_order] as the Sort-By column for step so the journey sorts 1–12.</t>
  </si>
  <si>
    <t>• Set attempt_date as a Date type for the daily / running-total trend visuals.</t>
  </si>
  <si>
    <t>Failed = CALCULATE(COUNTROWS(licensing_attempts), licensing_attempts[result]="Failed")</t>
  </si>
  <si>
    <t>Hours Lost = DIVIDE(SUM(licensing_attempts[time_lost_min]), 60)</t>
  </si>
  <si>
    <t>SUM([Time Lost Min]) / 60</t>
  </si>
  <si>
    <t>Pct MCA = DIVIDE(CALCULATE(COUNTROWS(licensing_attempts), licensing_attempts[billing_account]="MCA"), [Total Attempts])</t>
  </si>
  <si>
    <t>SUM(IF [Billing Account]="MCA" THEN 1 ELSE 0 END)/COUNT([Attempt Id])</t>
  </si>
  <si>
    <t>Support Escalations</t>
  </si>
  <si>
    <t>Escalations = CALCULATE(COUNTROWS(licensing_attempts), licensing_attempts[support_contacted]="Yes")</t>
  </si>
  <si>
    <t>SUM(IF [Support Contacted]="Yes" THEN 1 ELSE 0 END)</t>
  </si>
  <si>
    <t>Running Time Lost</t>
  </si>
  <si>
    <t>Running Lost = CALCULATE(SUM(licensing_attempts[time_lost_min]), FILTER(ALL(licensing_attempts[attempt_date]), licensing_attempts[attempt_date]&lt;=MAX(licensing_attempts[attempt_date])))</t>
  </si>
  <si>
    <t>RUNNING_SUM(SUM([Time Lost Min]))</t>
  </si>
  <si>
    <t>3) Visuals (recreate + extend the Excel dashboard)</t>
  </si>
  <si>
    <t>KPI cards (x6)</t>
  </si>
  <si>
    <t>Total Attempts, Failed, Hours Lost, % MCA Blocked, Escalations, Avg Frustration</t>
  </si>
  <si>
    <t>Time lost by category</t>
  </si>
  <si>
    <t>Axis: category | Value: SUM(time_lost_min)</t>
  </si>
  <si>
    <t>Axis: step (sort by step_order) | Value: frustration_score | optional: color by phase</t>
  </si>
  <si>
    <t>Legend: error_message | Value: COUNT(attempt_id)</t>
  </si>
  <si>
    <t>Attempts by category</t>
  </si>
  <si>
    <t>Bar</t>
  </si>
  <si>
    <t>Axis: category | Value: COUNT(attempt_id)</t>
  </si>
  <si>
    <t>Billing account split</t>
  </si>
  <si>
    <t>Legend: billing_account | Value: COUNT(attempt_id)</t>
  </si>
  <si>
    <t>Running time lost</t>
  </si>
  <si>
    <t>Area / line</t>
  </si>
  <si>
    <t>Axis: attempt_date | Value: Running Time Lost</t>
  </si>
  <si>
    <t>Sankey (PBI custom visual)</t>
  </si>
  <si>
    <t>Attempt → Not eligible → Check billing → MCA block → Support → Conversion</t>
  </si>
  <si>
    <t>category, result, billing_account, support_contacted — connected to all visuals</t>
  </si>
  <si>
    <t>Primary #0078D4 (Microsoft Blue) · series blue #2563EB / green #059669 / amber #F59E0B / purple #7C3ADB / red #DC2626 · page bg #F2F4F8 · font Segoe UI · titles 11pt bold #0F2041.</t>
  </si>
  <si>
    <t>How to Use This Workbook</t>
  </si>
  <si>
    <t>1.  Data tab — the two source tables (licensing_attempts, frustration_scores). Edit here; charts &amp; KPIs update automatically.</t>
  </si>
  <si>
    <t>2.  Analysis tab — all KPIs and breakdowns, formula-driven from the Data tables.</t>
  </si>
  <si>
    <t>3.  Dashboard tab — the finished visual: 6 KPI cards + 5 charts.</t>
  </si>
  <si>
    <t>4.  SQL tab — copy each gray code block into a SQL tool (MySQL/Postgres/etc.): run schema → inserts → queries. Copy code only, not headings.</t>
  </si>
  <si>
    <t>5.  BI Guide tab — a build checklist (not a file to import). In Power BI: Get Data → Excel → this file → load both tables, then follow the guide to add measures &amp; visuals.</t>
  </si>
  <si>
    <t>Disclaimer: This project is an independent portfolio piece created for educational and demonstrative purposes. All data is simulated/fictional and does not represent actual Microsoft figures, systems, or internal information. Views expressed are the author's personal commentary. Microsoft, Power BI, Copilot, and related names are trademarks of Microsoft Corporation; this project is not affiliated with, sponsored, or endorsed by Microsoft.</t>
  </si>
  <si>
    <t>Disclaimer: Independent portfolio project for educational purposes. All data is simulated/fictional — not real Microsoft data. Personal commentary; not affiliated with or endorsed by Microsoft. Microsoft &amp; related names are trademarks of Microsoft Corporation.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</si>
</sst>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yyyy\-mm\-dd"/>
  </numFmts>
  <fonts count="32" x14ac:knownFonts="1">
    <font>
      <sz val="11"/>
      <color theme="1"/>
      <name val="Aptos"/>
      <family val="2"/>
    </font>
    <font>
      <b/>
      <sz val="14"/>
      <color rgb="FFFFFFFF"/>
      <name val="Segoe UI"/>
      <family val="2"/>
    </font>
    <font>
      <b/>
      <sz val="36"/>
      <color rgb="FFFFFFFF"/>
      <name val="Segoe UI"/>
      <family val="2"/>
    </font>
    <font>
      <sz val="16"/>
      <color rgb="FFFFFFFF"/>
      <name val="Segoe UI"/>
      <family val="2"/>
    </font>
    <font>
      <i/>
      <sz val="12"/>
      <color rgb="FFDCE9F7"/>
      <name val="Segoe UI"/>
      <family val="2"/>
    </font>
    <font>
      <b/>
      <sz val="14"/>
      <color rgb="FF0078D4"/>
      <name val="Segoe UI"/>
      <family val="2"/>
    </font>
    <font>
      <sz val="11"/>
      <color rgb="FF1B1B1B"/>
      <name val="Segoe UI"/>
      <family val="2"/>
    </font>
    <font>
      <sz val="10"/>
      <color rgb="FF666666"/>
      <name val="Segoe UI"/>
      <family val="2"/>
    </font>
    <font>
      <b/>
      <sz val="10"/>
      <color rgb="FF666666"/>
      <name val="Segoe UI"/>
      <family val="2"/>
    </font>
    <font>
      <sz val="10"/>
      <color rgb="FF1B1B1B"/>
      <name val="Segoe UI"/>
      <family val="2"/>
    </font>
    <font>
      <b/>
      <sz val="10"/>
      <color rgb="FFFFFFFF"/>
      <name val="Segoe UI"/>
      <family val="2"/>
    </font>
    <font>
      <sz val="11"/>
      <color theme="1"/>
      <name val="Segoe UI"/>
      <family val="2"/>
    </font>
    <font>
      <sz val="10"/>
      <color theme="1"/>
      <name val="Segoe UI"/>
      <family val="2"/>
    </font>
    <font>
      <b/>
      <sz val="10"/>
      <color theme="1"/>
      <name val="Segoe UI"/>
      <family val="2"/>
    </font>
    <font>
      <sz val="10"/>
      <color theme="1"/>
      <name val="Consolas"/>
      <family val="3"/>
    </font>
    <font>
      <b/>
      <sz val="10"/>
      <color theme="1"/>
      <name val="Consolas"/>
      <family val="3"/>
    </font>
    <font>
      <sz val="9"/>
      <color theme="1"/>
      <name val="Consolas"/>
      <family val="3"/>
    </font>
    <font>
      <b/>
      <sz val="12"/>
      <color theme="1"/>
      <name val="Segoe UI"/>
      <family val="2"/>
    </font>
    <font>
      <b/>
      <sz val="11"/>
      <color rgb="FFFFFFFF"/>
      <name val="Segoe UI"/>
      <family val="2"/>
    </font>
    <font>
      <b/>
      <sz val="10"/>
      <color rgb="FF0078D4"/>
      <name val="Segoe UI"/>
      <family val="2"/>
    </font>
    <font>
      <b/>
      <sz val="10"/>
      <color rgb="FF999999"/>
      <name val="Segoe UI"/>
      <family val="2"/>
    </font>
    <font>
      <b/>
      <sz val="22"/>
      <color rgb="FFFFFFFF"/>
      <name val="Segoe UI"/>
      <family val="2"/>
    </font>
    <font>
      <b/>
      <sz val="26"/>
      <color rgb="FF2563EB"/>
      <name val="Segoe UI"/>
      <family val="2"/>
    </font>
    <font>
      <b/>
      <sz val="26"/>
      <color rgb="FFDC2626"/>
      <name val="Segoe UI"/>
      <family val="2"/>
    </font>
    <font>
      <b/>
      <sz val="26"/>
      <color rgb="FF7C3ADB"/>
      <name val="Segoe UI"/>
      <family val="2"/>
    </font>
    <font>
      <b/>
      <sz val="26"/>
      <color rgb="FFF59E0B"/>
      <name val="Segoe UI"/>
      <family val="2"/>
    </font>
    <font>
      <b/>
      <sz val="26"/>
      <color rgb="FF059669"/>
      <name val="Segoe UI"/>
      <family val="2"/>
    </font>
    <font>
      <b/>
      <sz val="26"/>
      <color rgb="FF0078D4"/>
      <name val="Segoe UI"/>
      <family val="2"/>
    </font>
    <font>
      <sz val="9"/>
      <color theme="1"/>
      <name val="Segoe UI"/>
      <family val="2"/>
    </font>
    <font>
      <b/>
      <sz val="9"/>
      <color rgb="FFFFFFFF"/>
      <name val="Segoe UI"/>
      <family val="2"/>
    </font>
    <font>
      <i/>
      <sz val="9"/>
      <color rgb="FF666666"/>
      <name val="Segoe UI"/>
      <family val="2"/>
    </font>
    <font>
      <i/>
      <sz val="9"/>
      <color rgb="FF999999"/>
      <name val="Segoe UI"/>
      <family val="2"/>
    </font>
  </fonts>
  <fills count="12">
    <fill>
      <patternFill patternType="none"/>
    </fill>
    <fill>
      <patternFill patternType="gray125"/>
    </fill>
    <fill>
      <patternFill patternType="solid">
        <fgColor rgb="FF0078D4"/>
        <bgColor indexed="64"/>
      </patternFill>
    </fill>
    <fill>
      <patternFill patternType="solid">
        <fgColor rgb="FF1B1B1B"/>
        <bgColor indexed="64"/>
      </patternFill>
    </fill>
    <fill>
      <patternFill patternType="solid">
        <fgColor rgb="FFF2F4F8"/>
        <bgColor indexed="64"/>
      </patternFill>
    </fill>
    <fill>
      <patternFill patternType="solid">
        <fgColor rgb="FF2563EB"/>
        <bgColor indexed="64"/>
      </patternFill>
    </fill>
    <fill>
      <patternFill patternType="solid">
        <fgColor rgb="FFFFFFFF"/>
        <bgColor indexed="64"/>
      </patternFill>
    </fill>
    <fill>
      <patternFill patternType="solid">
        <fgColor rgb="FFDC2626"/>
        <bgColor indexed="64"/>
      </patternFill>
    </fill>
    <fill>
      <patternFill patternType="solid">
        <fgColor rgb="FF7C3ADB"/>
        <bgColor indexed="64"/>
      </patternFill>
    </fill>
    <fill>
      <patternFill patternType="solid">
        <fgColor rgb="FFF59E0B"/>
        <bgColor indexed="64"/>
      </patternFill>
    </fill>
    <fill>
      <patternFill patternType="solid">
        <fgColor rgb="FF059669"/>
        <bgColor indexed="64"/>
      </patternFill>
    </fill>
    <fill>
      <patternFill patternType="solid">
        <fgColor rgb="FFF6F8FA"/>
        <bgColor indexed="64"/>
      </patternFill>
    </fill>
  </fills>
  <borders count="16">
    <border>
      <left/>
      <right/>
      <top/>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top style="thin">
        <color rgb="FFDDDDDD"/>
      </top>
      <bottom/>
      <diagonal/>
    </border>
    <border>
      <left/>
      <right/>
      <top style="thin">
        <color rgb="FFDAE0EB"/>
      </top>
      <bottom/>
      <diagonal/>
    </border>
    <border>
      <left/>
      <right/>
      <top/>
      <bottom style="thin">
        <color rgb="FFDAE0EB"/>
      </bottom>
      <diagonal/>
    </border>
    <border>
      <left style="thin">
        <color rgb="FFDAE0EB"/>
      </left>
      <right/>
      <top style="thin">
        <color rgb="FFDAE0EB"/>
      </top>
      <bottom/>
      <diagonal/>
    </border>
    <border>
      <left style="thin">
        <color rgb="FFDAE0EB"/>
      </left>
      <right/>
      <top/>
      <bottom style="thin">
        <color rgb="FFDAE0EB"/>
      </bottom>
      <diagonal/>
    </border>
    <border>
      <left/>
      <right style="thin">
        <color rgb="FFDAE0EB"/>
      </right>
      <top style="thin">
        <color rgb="FFDAE0EB"/>
      </top>
      <bottom/>
      <diagonal/>
    </border>
    <border>
      <left/>
      <right style="thin">
        <color rgb="FFDAE0EB"/>
      </right>
      <top/>
      <bottom style="thin">
        <color rgb="FFDAE0EB"/>
      </bottom>
      <diagonal/>
    </border>
  </borders>
  <cellStyleXfs count="1">
    <xf numFmtId="0" fontId="0" fillId="0" borderId="0"/>
  </cellStyleXfs>
  <cellXfs count="78">
    <xf numFmtId="0" fontId="0" fillId="0" borderId="0" xfId="0"/>
    <xf numFmtId="0" fontId="0" fillId="2" borderId="0" xfId="0" applyFill="1"/>
    <xf numFmtId="0" fontId="0" fillId="3" borderId="0" xfId="0" applyFill="1"/>
    <xf numFmtId="0" fontId="5" fillId="0" borderId="0" xfId="0" applyFont="1"/>
    <xf numFmtId="0" fontId="7" fillId="0" borderId="0" xfId="0" applyFont="1"/>
    <xf numFmtId="0" fontId="8" fillId="0" borderId="0" xfId="0" applyFont="1"/>
    <xf numFmtId="0" fontId="9" fillId="0" borderId="0" xfId="0" applyFont="1"/>
    <xf numFmtId="17" fontId="9" fillId="0" borderId="0" xfId="0" applyNumberFormat="1" applyFont="1"/>
    <xf numFmtId="0" fontId="11" fillId="0" borderId="0" xfId="0" applyFont="1"/>
    <xf numFmtId="0" fontId="12" fillId="0" borderId="0" xfId="0" applyFont="1"/>
    <xf numFmtId="0" fontId="10" fillId="2" borderId="1" xfId="0" applyFont="1" applyFill="1" applyBorder="1"/>
    <xf numFmtId="0" fontId="10" fillId="2" borderId="2" xfId="0" applyFont="1" applyFill="1" applyBorder="1"/>
    <xf numFmtId="0" fontId="10" fillId="2" borderId="3" xfId="0" applyFont="1" applyFill="1" applyBorder="1"/>
    <xf numFmtId="0" fontId="12" fillId="0" borderId="4" xfId="0" applyFont="1" applyBorder="1"/>
    <xf numFmtId="0" fontId="12" fillId="0" borderId="5" xfId="0" applyFont="1" applyBorder="1"/>
    <xf numFmtId="0" fontId="12" fillId="0" borderId="6" xfId="0" applyFont="1" applyBorder="1"/>
    <xf numFmtId="0" fontId="12" fillId="0" borderId="7" xfId="0" applyFont="1" applyBorder="1"/>
    <xf numFmtId="0" fontId="12" fillId="0" borderId="8" xfId="0" applyFont="1" applyBorder="1"/>
    <xf numFmtId="0" fontId="12" fillId="0" borderId="9" xfId="0" applyFont="1" applyBorder="1"/>
    <xf numFmtId="0" fontId="6" fillId="0" borderId="0" xfId="0" applyFont="1"/>
    <xf numFmtId="0" fontId="13" fillId="0" borderId="0" xfId="0" applyFont="1"/>
    <xf numFmtId="164" fontId="13" fillId="0" borderId="0" xfId="0" applyNumberFormat="1" applyFont="1"/>
    <xf numFmtId="165" fontId="13" fillId="0" borderId="0" xfId="0" applyNumberFormat="1" applyFont="1"/>
    <xf numFmtId="0" fontId="0" fillId="4" borderId="0" xfId="0" applyFill="1"/>
    <xf numFmtId="0" fontId="0" fillId="5" borderId="0" xfId="0" applyFill="1"/>
    <xf numFmtId="0" fontId="0" fillId="7" borderId="0" xfId="0" applyFill="1"/>
    <xf numFmtId="0" fontId="0" fillId="8" borderId="0" xfId="0" applyFill="1"/>
    <xf numFmtId="0" fontId="0" fillId="9" borderId="0" xfId="0" applyFill="1"/>
    <xf numFmtId="0" fontId="0" fillId="10" borderId="0" xfId="0" applyFill="1"/>
    <xf numFmtId="0" fontId="8" fillId="6" borderId="12" xfId="0" applyFont="1" applyFill="1" applyBorder="1" applyAlignment="1">
      <alignment horizontal="center"/>
    </xf>
    <xf numFmtId="0" fontId="0" fillId="6" borderId="10" xfId="0" applyFill="1" applyBorder="1" applyAlignment="1">
      <alignment horizontal="center"/>
    </xf>
    <xf numFmtId="0" fontId="0" fillId="6" borderId="14" xfId="0" applyFill="1" applyBorder="1" applyAlignment="1">
      <alignment horizontal="center"/>
    </xf>
    <xf numFmtId="0" fontId="0" fillId="6" borderId="11" xfId="0" applyFill="1" applyBorder="1" applyAlignment="1">
      <alignment horizontal="center"/>
    </xf>
    <xf numFmtId="0" fontId="0" fillId="6" borderId="15" xfId="0" applyFill="1" applyBorder="1" applyAlignment="1">
      <alignment horizontal="center"/>
    </xf>
    <xf numFmtId="0" fontId="15" fillId="0" borderId="0" xfId="0" applyFont="1"/>
    <xf numFmtId="0" fontId="14" fillId="11" borderId="0" xfId="0" applyFont="1" applyFill="1" applyAlignment="1">
      <alignment vertical="top" wrapText="1"/>
    </xf>
    <xf numFmtId="0" fontId="0" fillId="11" borderId="0" xfId="0" applyFill="1" applyAlignment="1">
      <alignment vertical="top" wrapText="1"/>
    </xf>
    <xf numFmtId="0" fontId="15" fillId="11" borderId="0" xfId="0" applyFont="1" applyFill="1" applyAlignment="1">
      <alignment vertical="top" wrapText="1"/>
    </xf>
    <xf numFmtId="0" fontId="10" fillId="2" borderId="1" xfId="0" applyFont="1" applyFill="1" applyBorder="1" applyAlignment="1">
      <alignment vertical="top" wrapText="1"/>
    </xf>
    <xf numFmtId="166" fontId="12" fillId="0" borderId="0" xfId="0" applyNumberFormat="1" applyFont="1"/>
    <xf numFmtId="0" fontId="17" fillId="0" borderId="0" xfId="0" applyFont="1"/>
    <xf numFmtId="0" fontId="19" fillId="0" borderId="0" xfId="0" applyFont="1"/>
    <xf numFmtId="0" fontId="13" fillId="0" borderId="7" xfId="0" applyFont="1" applyBorder="1"/>
    <xf numFmtId="0" fontId="13" fillId="0" borderId="8" xfId="0" applyFont="1" applyBorder="1"/>
    <xf numFmtId="0" fontId="13" fillId="0" borderId="9" xfId="0" applyFont="1" applyBorder="1"/>
    <xf numFmtId="0" fontId="20" fillId="0" borderId="0" xfId="0" applyFont="1"/>
    <xf numFmtId="0" fontId="10" fillId="2" borderId="0" xfId="0" applyFont="1" applyFill="1"/>
    <xf numFmtId="0" fontId="22" fillId="6" borderId="13" xfId="0" applyFont="1" applyFill="1" applyBorder="1" applyAlignment="1">
      <alignment horizontal="center"/>
    </xf>
    <xf numFmtId="0" fontId="23" fillId="6" borderId="13" xfId="0" applyFont="1" applyFill="1" applyBorder="1" applyAlignment="1">
      <alignment horizontal="center"/>
    </xf>
    <xf numFmtId="165" fontId="24" fillId="6" borderId="13" xfId="0" applyNumberFormat="1" applyFont="1" applyFill="1" applyBorder="1" applyAlignment="1">
      <alignment horizontal="center"/>
    </xf>
    <xf numFmtId="9" fontId="25" fillId="6" borderId="13" xfId="0" applyNumberFormat="1" applyFont="1" applyFill="1" applyBorder="1" applyAlignment="1">
      <alignment horizontal="center"/>
    </xf>
    <xf numFmtId="0" fontId="26" fillId="6" borderId="13" xfId="0" applyFont="1" applyFill="1" applyBorder="1" applyAlignment="1">
      <alignment horizontal="center"/>
    </xf>
    <xf numFmtId="165" fontId="27" fillId="6" borderId="13" xfId="0" applyNumberFormat="1" applyFont="1" applyFill="1" applyBorder="1" applyAlignment="1">
      <alignment horizontal="center"/>
    </xf>
    <xf numFmtId="0" fontId="16" fillId="11" borderId="0" xfId="0" applyFont="1" applyFill="1" applyAlignment="1">
      <alignment vertical="top" wrapText="1"/>
    </xf>
    <xf numFmtId="0" fontId="18" fillId="2" borderId="2" xfId="0" applyFont="1" applyFill="1" applyBorder="1" applyAlignment="1">
      <alignment vertical="top" wrapText="1"/>
    </xf>
    <xf numFmtId="0" fontId="18" fillId="2" borderId="3" xfId="0" applyFont="1" applyFill="1" applyBorder="1" applyAlignment="1">
      <alignment vertical="top" wrapText="1"/>
    </xf>
    <xf numFmtId="0" fontId="11" fillId="0" borderId="4" xfId="0" applyFont="1" applyBorder="1" applyAlignment="1">
      <alignment vertical="top" wrapText="1"/>
    </xf>
    <xf numFmtId="0" fontId="28" fillId="0" borderId="5" xfId="0" applyFont="1" applyBorder="1" applyAlignment="1">
      <alignment vertical="top" wrapText="1"/>
    </xf>
    <xf numFmtId="0" fontId="28" fillId="0" borderId="6" xfId="0" applyFont="1" applyBorder="1" applyAlignment="1">
      <alignment vertical="top" wrapText="1"/>
    </xf>
    <xf numFmtId="0" fontId="11" fillId="0" borderId="7" xfId="0" applyFont="1" applyBorder="1" applyAlignment="1">
      <alignment vertical="top" wrapText="1"/>
    </xf>
    <xf numFmtId="0" fontId="28" fillId="0" borderId="8" xfId="0" applyFont="1" applyBorder="1" applyAlignment="1">
      <alignment vertical="top" wrapText="1"/>
    </xf>
    <xf numFmtId="0" fontId="28" fillId="0" borderId="9" xfId="0" applyFont="1" applyBorder="1" applyAlignment="1">
      <alignment vertical="top" wrapText="1"/>
    </xf>
    <xf numFmtId="0" fontId="18" fillId="2" borderId="1" xfId="0" applyFont="1" applyFill="1" applyBorder="1" applyAlignment="1">
      <alignment vertical="top" wrapText="1"/>
    </xf>
    <xf numFmtId="0" fontId="29" fillId="2" borderId="2" xfId="0" applyFont="1" applyFill="1" applyBorder="1" applyAlignment="1">
      <alignment vertical="top" wrapText="1"/>
    </xf>
    <xf numFmtId="0" fontId="29" fillId="2" borderId="3" xfId="0" applyFont="1" applyFill="1" applyBorder="1" applyAlignment="1">
      <alignment vertical="top" wrapText="1"/>
    </xf>
    <xf numFmtId="0" fontId="11" fillId="0" borderId="5" xfId="0" applyFont="1" applyBorder="1" applyAlignment="1">
      <alignment vertical="top" wrapText="1"/>
    </xf>
    <xf numFmtId="0" fontId="11" fillId="0" borderId="6" xfId="0" applyFont="1" applyBorder="1" applyAlignment="1">
      <alignment vertical="top" wrapText="1"/>
    </xf>
    <xf numFmtId="0" fontId="11" fillId="0" borderId="8" xfId="0" applyFont="1" applyBorder="1" applyAlignment="1">
      <alignment vertical="top" wrapText="1"/>
    </xf>
    <xf numFmtId="0" fontId="11" fillId="0" borderId="9" xfId="0" applyFont="1" applyBorder="1" applyAlignment="1">
      <alignment vertical="top" wrapText="1"/>
    </xf>
    <xf numFmtId="0" fontId="30" fillId="0" borderId="0" xfId="0" applyFont="1"/>
    <xf numFmtId="0" fontId="31" fillId="11" borderId="0" xfId="0" applyFont="1" applyFill="1" applyAlignment="1">
      <alignment vertical="top" wrapText="1"/>
    </xf>
    <xf numFmtId="0" fontId="31" fillId="0" borderId="0" xfId="0" applyFont="1"/>
    <xf numFmtId="0" fontId="21" fillId="2" borderId="0" xfId="0" applyFont="1" applyFill="1" applyAlignment="1">
      <alignment horizontal="center" vertical="center"/>
    </xf>
    <xf numFmtId="0" fontId="1" fillId="2" borderId="0" xfId="0" applyFont="1" applyFill="1" applyAlignment="1">
      <alignment horizontal="center" vertical="center"/>
    </xf>
    <xf numFmtId="0" fontId="2" fillId="2" borderId="0" xfId="0" applyFont="1" applyFill="1" applyAlignment="1">
      <alignment horizontal="center" vertical="center"/>
    </xf>
    <xf numFmtId="0" fontId="3" fillId="2" borderId="0" xfId="0" applyFont="1" applyFill="1" applyAlignment="1">
      <alignment horizontal="center" vertical="center"/>
    </xf>
    <xf numFmtId="0" fontId="4" fillId="2" borderId="0" xfId="0" applyFont="1" applyFill="1" applyAlignment="1">
      <alignment horizontal="center" vertical="center"/>
    </xf>
    <xf numFmtId="0" fontId="0" fillId="2" borderId="0" xfId="0" applyFill="1" applyAlignment="1">
      <alignment horizontal="center" vertical="center"/>
    </xf>
  </cellXfs>
  <cellStyles count="1">
    <cellStyle name="Normal" xfId="0" builtinId="0"/>
  </cellStyles>
  <dxfs count="17">
    <dxf>
      <font>
        <sz val="10"/>
        <name val="Segoe UI"/>
      </font>
    </dxf>
    <dxf>
      <font>
        <sz val="10"/>
        <name val="Segoe UI"/>
      </font>
    </dxf>
    <dxf>
      <font>
        <sz val="10"/>
        <name val="Segoe UI"/>
      </font>
    </dxf>
    <dxf>
      <font>
        <sz val="10"/>
        <name val="Segoe UI"/>
      </font>
    </dxf>
    <dxf>
      <font>
        <sz val="10"/>
        <name val="Segoe UI"/>
      </font>
    </dxf>
    <dxf>
      <font>
        <sz val="10"/>
        <name val="Segoe UI"/>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numFmt numFmtId="166" formatCode="yyyy\-mm\-dd"/>
    </dxf>
    <dxf>
      <font>
        <b val="0"/>
        <i val="0"/>
        <strike val="0"/>
        <condense val="0"/>
        <extend val="0"/>
        <outline val="0"/>
        <shadow val="0"/>
        <u val="none"/>
        <vertAlign val="baseline"/>
        <sz val="10"/>
        <color theme="1"/>
        <name val="Segoe UI"/>
        <scheme val="none"/>
      </font>
    </dxf>
    <dxf>
      <font>
        <b val="0"/>
        <i val="0"/>
        <strike val="0"/>
        <condense val="0"/>
        <extend val="0"/>
        <outline val="0"/>
        <shadow val="0"/>
        <u val="none"/>
        <vertAlign val="baseline"/>
        <sz val="10"/>
        <color theme="1"/>
        <name val="Segoe UI"/>
        <scheme val="none"/>
      </font>
    </dxf>
    <dxf>
      <font>
        <sz val="10"/>
        <name val="Segoe UI"/>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F2041"/>
                </a:solidFill>
                <a:latin typeface="+mn-lt"/>
                <a:ea typeface="+mn-ea"/>
                <a:cs typeface="+mn-cs"/>
              </a:defRPr>
            </a:pPr>
            <a:r>
              <a:rPr lang="en-US"/>
              <a:t>Time Lost by Product Category (min)</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2041"/>
              </a:solidFill>
              <a:latin typeface="+mn-lt"/>
              <a:ea typeface="+mn-ea"/>
              <a:cs typeface="+mn-cs"/>
            </a:defRPr>
          </a:pPr>
          <a:endParaRPr lang="en-US"/>
        </a:p>
      </c:txPr>
    </c:title>
    <c:autoTitleDeleted val="0"/>
    <c:plotArea>
      <c:layout/>
      <c:barChart>
        <c:barDir val="col"/>
        <c:grouping val="clustered"/>
        <c:varyColors val="0"/>
        <c:ser>
          <c:idx val="0"/>
          <c:order val="0"/>
          <c:tx>
            <c:strRef>
              <c:f>Analysis!$K$5</c:f>
              <c:strCache>
                <c:ptCount val="1"/>
                <c:pt idx="0">
                  <c:v>time_lost</c:v>
                </c:pt>
              </c:strCache>
            </c:strRef>
          </c:tx>
          <c:spPr>
            <a:solidFill>
              <a:srgbClr val="2563EB"/>
            </a:solidFill>
            <a:ln>
              <a:noFill/>
            </a:ln>
            <a:effectLst/>
          </c:spPr>
          <c:invertIfNegative val="0"/>
          <c:cat>
            <c:strRef>
              <c:f>Analysis!$J$6:$J$13</c:f>
              <c:strCache>
                <c:ptCount val="8"/>
                <c:pt idx="0">
                  <c:v>Analytics</c:v>
                </c:pt>
                <c:pt idx="1">
                  <c:v>AI</c:v>
                </c:pt>
                <c:pt idx="2">
                  <c:v>Collaboration</c:v>
                </c:pt>
                <c:pt idx="3">
                  <c:v>Automation</c:v>
                </c:pt>
                <c:pt idx="4">
                  <c:v>Security</c:v>
                </c:pt>
                <c:pt idx="5">
                  <c:v>Apps</c:v>
                </c:pt>
                <c:pt idx="6">
                  <c:v>CRM</c:v>
                </c:pt>
                <c:pt idx="7">
                  <c:v>Core M365</c:v>
                </c:pt>
              </c:strCache>
            </c:strRef>
          </c:cat>
          <c:val>
            <c:numRef>
              <c:f>Analysis!$K$6:$K$13</c:f>
              <c:numCache>
                <c:formatCode>General</c:formatCode>
                <c:ptCount val="8"/>
                <c:pt idx="0">
                  <c:v>129</c:v>
                </c:pt>
                <c:pt idx="1">
                  <c:v>73</c:v>
                </c:pt>
                <c:pt idx="2">
                  <c:v>50</c:v>
                </c:pt>
                <c:pt idx="3">
                  <c:v>27</c:v>
                </c:pt>
                <c:pt idx="4">
                  <c:v>22</c:v>
                </c:pt>
                <c:pt idx="5">
                  <c:v>15</c:v>
                </c:pt>
                <c:pt idx="6">
                  <c:v>15</c:v>
                </c:pt>
                <c:pt idx="7">
                  <c:v>62</c:v>
                </c:pt>
              </c:numCache>
            </c:numRef>
          </c:val>
          <c:extLst>
            <c:ext xmlns:c16="http://schemas.microsoft.com/office/drawing/2014/chart" uri="{C3380CC4-5D6E-409C-BE32-E72D297353CC}">
              <c16:uniqueId val="{00000000-F36B-46CB-9166-7C1B4E528A73}"/>
            </c:ext>
          </c:extLst>
        </c:ser>
        <c:dLbls>
          <c:showLegendKey val="0"/>
          <c:showVal val="0"/>
          <c:showCatName val="0"/>
          <c:showSerName val="0"/>
          <c:showPercent val="0"/>
          <c:showBubbleSize val="0"/>
        </c:dLbls>
        <c:gapWidth val="219"/>
        <c:overlap val="-27"/>
        <c:axId val="514680847"/>
        <c:axId val="514678927"/>
      </c:barChart>
      <c:catAx>
        <c:axId val="51468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678927"/>
        <c:crosses val="autoZero"/>
        <c:auto val="1"/>
        <c:lblAlgn val="ctr"/>
        <c:lblOffset val="100"/>
        <c:noMultiLvlLbl val="0"/>
      </c:catAx>
      <c:valAx>
        <c:axId val="514678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680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F2041"/>
                </a:solidFill>
                <a:latin typeface="+mn-lt"/>
                <a:ea typeface="+mn-ea"/>
                <a:cs typeface="+mn-cs"/>
              </a:defRPr>
            </a:pPr>
            <a:r>
              <a:rPr lang="en-US"/>
              <a:t>Frustration Score Over the Journey</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2041"/>
              </a:solidFill>
              <a:latin typeface="+mn-lt"/>
              <a:ea typeface="+mn-ea"/>
              <a:cs typeface="+mn-cs"/>
            </a:defRPr>
          </a:pPr>
          <a:endParaRPr lang="en-US"/>
        </a:p>
      </c:txPr>
    </c:title>
    <c:autoTitleDeleted val="0"/>
    <c:plotArea>
      <c:layout/>
      <c:lineChart>
        <c:grouping val="standard"/>
        <c:varyColors val="0"/>
        <c:ser>
          <c:idx val="0"/>
          <c:order val="0"/>
          <c:tx>
            <c:strRef>
              <c:f>Analysis!$N$5</c:f>
              <c:strCache>
                <c:ptCount val="1"/>
                <c:pt idx="0">
                  <c:v>frustration</c:v>
                </c:pt>
              </c:strCache>
            </c:strRef>
          </c:tx>
          <c:spPr>
            <a:ln w="28575" cap="rnd">
              <a:solidFill>
                <a:srgbClr val="F59E0B"/>
              </a:solidFill>
              <a:prstDash val="solid"/>
              <a:round/>
            </a:ln>
            <a:effectLst/>
          </c:spPr>
          <c:marker>
            <c:symbol val="none"/>
          </c:marker>
          <c:cat>
            <c:strRef>
              <c:f>Analysis!$M$6:$M$17</c:f>
              <c:strCache>
                <c:ptCount val="12"/>
                <c:pt idx="0">
                  <c:v>Initial PPU attempt</c:v>
                </c:pt>
                <c:pt idx="1">
                  <c:v>“Not eligible” error</c:v>
                </c:pt>
                <c:pt idx="2">
                  <c:v>Missing Purchase Services</c:v>
                </c:pt>
                <c:pt idx="3">
                  <c:v>Tried Power BI Pro</c:v>
                </c:pt>
                <c:pt idx="4">
                  <c:v>Conflicting documentation</c:v>
                </c:pt>
                <c:pt idx="5">
                  <c:v>Checked region &amp; self-service</c:v>
                </c:pt>
                <c:pt idx="6">
                  <c:v>Discovered MCA billing</c:v>
                </c:pt>
                <c:pt idx="7">
                  <c:v>Copilot also blocked</c:v>
                </c:pt>
                <c:pt idx="8">
                  <c:v>Teams Premium blocked</c:v>
                </c:pt>
                <c:pt idx="9">
                  <c:v>MCA billing block confirmed</c:v>
                </c:pt>
                <c:pt idx="10">
                  <c:v>Decision to contact support</c:v>
                </c:pt>
                <c:pt idx="11">
                  <c:v>Awaiting billing conversion</c:v>
                </c:pt>
              </c:strCache>
            </c:strRef>
          </c:cat>
          <c:val>
            <c:numRef>
              <c:f>Analysis!$N$6:$N$17</c:f>
              <c:numCache>
                <c:formatCode>General</c:formatCode>
                <c:ptCount val="12"/>
                <c:pt idx="0">
                  <c:v>3</c:v>
                </c:pt>
                <c:pt idx="1">
                  <c:v>4</c:v>
                </c:pt>
                <c:pt idx="2">
                  <c:v>6</c:v>
                </c:pt>
                <c:pt idx="3">
                  <c:v>5</c:v>
                </c:pt>
                <c:pt idx="4">
                  <c:v>7</c:v>
                </c:pt>
                <c:pt idx="5">
                  <c:v>6</c:v>
                </c:pt>
                <c:pt idx="6">
                  <c:v>8</c:v>
                </c:pt>
                <c:pt idx="7">
                  <c:v>9</c:v>
                </c:pt>
                <c:pt idx="8">
                  <c:v>8</c:v>
                </c:pt>
                <c:pt idx="9">
                  <c:v>9</c:v>
                </c:pt>
                <c:pt idx="10">
                  <c:v>10</c:v>
                </c:pt>
                <c:pt idx="11">
                  <c:v>7</c:v>
                </c:pt>
              </c:numCache>
            </c:numRef>
          </c:val>
          <c:smooth val="0"/>
          <c:extLst>
            <c:ext xmlns:c16="http://schemas.microsoft.com/office/drawing/2014/chart" uri="{C3380CC4-5D6E-409C-BE32-E72D297353CC}">
              <c16:uniqueId val="{00000000-2B52-43E8-96F7-D00D32008E1D}"/>
            </c:ext>
          </c:extLst>
        </c:ser>
        <c:dLbls>
          <c:showLegendKey val="0"/>
          <c:showVal val="0"/>
          <c:showCatName val="0"/>
          <c:showSerName val="0"/>
          <c:showPercent val="0"/>
          <c:showBubbleSize val="0"/>
        </c:dLbls>
        <c:smooth val="0"/>
        <c:axId val="514673647"/>
        <c:axId val="514670767"/>
      </c:lineChart>
      <c:catAx>
        <c:axId val="51467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670767"/>
        <c:crosses val="autoZero"/>
        <c:auto val="1"/>
        <c:lblAlgn val="ctr"/>
        <c:lblOffset val="100"/>
        <c:noMultiLvlLbl val="0"/>
      </c:catAx>
      <c:valAx>
        <c:axId val="514670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673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F2041"/>
                </a:solidFill>
                <a:latin typeface="+mn-lt"/>
                <a:ea typeface="+mn-ea"/>
                <a:cs typeface="+mn-cs"/>
              </a:defRPr>
            </a:pPr>
            <a:r>
              <a:rPr lang="en-US"/>
              <a:t>Error Message Distribution</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2041"/>
              </a:solidFill>
              <a:latin typeface="+mn-lt"/>
              <a:ea typeface="+mn-ea"/>
              <a:cs typeface="+mn-cs"/>
            </a:defRPr>
          </a:pPr>
          <a:endParaRPr lang="en-US"/>
        </a:p>
      </c:txPr>
    </c:title>
    <c:autoTitleDeleted val="0"/>
    <c:plotArea>
      <c:layout/>
      <c:doughnutChart>
        <c:varyColors val="1"/>
        <c:ser>
          <c:idx val="0"/>
          <c:order val="0"/>
          <c:tx>
            <c:strRef>
              <c:f>Analysis!$F$18</c:f>
              <c:strCache>
                <c:ptCount val="1"/>
                <c:pt idx="0">
                  <c:v>occurrences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86-46FB-BB7A-3CA984618F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86-46FB-BB7A-3CA984618F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586-46FB-BB7A-3CA984618F4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586-46FB-BB7A-3CA984618F4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586-46FB-BB7A-3CA984618F4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586-46FB-BB7A-3CA984618F4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586-46FB-BB7A-3CA984618F4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586-46FB-BB7A-3CA984618F4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586-46FB-BB7A-3CA984618F4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586-46FB-BB7A-3CA984618F4D}"/>
              </c:ext>
            </c:extLst>
          </c:dPt>
          <c:cat>
            <c:strRef>
              <c:f>Analysis!$E$19:$E$28</c:f>
              <c:strCache>
                <c:ptCount val="10"/>
                <c:pt idx="0">
                  <c:v>MCA billing block</c:v>
                </c:pt>
                <c:pt idx="1">
                  <c:v>Not eligible</c:v>
                </c:pt>
                <c:pt idx="2">
                  <c:v>Requires base license</c:v>
                </c:pt>
                <c:pt idx="3">
                  <c:v>Self-service disabled</c:v>
                </c:pt>
                <c:pt idx="4">
                  <c:v>Requires Pro</c:v>
                </c:pt>
                <c:pt idx="5">
                  <c:v>Purchase services missing</c:v>
                </c:pt>
                <c:pt idx="6">
                  <c:v>Region not supported</c:v>
                </c:pt>
                <c:pt idx="7">
                  <c:v>Admin approval required</c:v>
                </c:pt>
                <c:pt idx="8">
                  <c:v>Assigned</c:v>
                </c:pt>
                <c:pt idx="9">
                  <c:v>Converted to M365 Commerce</c:v>
                </c:pt>
              </c:strCache>
            </c:strRef>
          </c:cat>
          <c:val>
            <c:numRef>
              <c:f>Analysis!$F$19:$F$28</c:f>
              <c:numCache>
                <c:formatCode>General</c:formatCode>
                <c:ptCount val="10"/>
                <c:pt idx="0">
                  <c:v>6</c:v>
                </c:pt>
                <c:pt idx="1">
                  <c:v>4</c:v>
                </c:pt>
                <c:pt idx="2">
                  <c:v>3</c:v>
                </c:pt>
                <c:pt idx="3">
                  <c:v>2</c:v>
                </c:pt>
                <c:pt idx="4">
                  <c:v>1</c:v>
                </c:pt>
                <c:pt idx="5">
                  <c:v>1</c:v>
                </c:pt>
                <c:pt idx="6">
                  <c:v>1</c:v>
                </c:pt>
                <c:pt idx="7">
                  <c:v>1</c:v>
                </c:pt>
                <c:pt idx="8">
                  <c:v>3</c:v>
                </c:pt>
                <c:pt idx="9">
                  <c:v>1</c:v>
                </c:pt>
              </c:numCache>
            </c:numRef>
          </c:val>
          <c:extLst>
            <c:ext xmlns:c16="http://schemas.microsoft.com/office/drawing/2014/chart" uri="{C3380CC4-5D6E-409C-BE32-E72D297353CC}">
              <c16:uniqueId val="{00000000-6CE3-4DCC-8028-A4B4E2BD3DE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F2041"/>
                </a:solidFill>
                <a:latin typeface="+mn-lt"/>
                <a:ea typeface="+mn-ea"/>
                <a:cs typeface="+mn-cs"/>
              </a:defRPr>
            </a:pPr>
            <a:r>
              <a:rPr lang="en-US"/>
              <a:t>Attempts by Category</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2041"/>
              </a:solidFill>
              <a:latin typeface="+mn-lt"/>
              <a:ea typeface="+mn-ea"/>
              <a:cs typeface="+mn-cs"/>
            </a:defRPr>
          </a:pPr>
          <a:endParaRPr lang="en-US"/>
        </a:p>
      </c:txPr>
    </c:title>
    <c:autoTitleDeleted val="0"/>
    <c:plotArea>
      <c:layout/>
      <c:barChart>
        <c:barDir val="bar"/>
        <c:grouping val="clustered"/>
        <c:varyColors val="0"/>
        <c:ser>
          <c:idx val="0"/>
          <c:order val="0"/>
          <c:tx>
            <c:strRef>
              <c:f>Analysis!$F$5</c:f>
              <c:strCache>
                <c:ptCount val="1"/>
                <c:pt idx="0">
                  <c:v>attempts</c:v>
                </c:pt>
              </c:strCache>
            </c:strRef>
          </c:tx>
          <c:spPr>
            <a:solidFill>
              <a:srgbClr val="059669"/>
            </a:solidFill>
            <a:ln>
              <a:noFill/>
            </a:ln>
            <a:effectLst/>
          </c:spPr>
          <c:invertIfNegative val="0"/>
          <c:cat>
            <c:strRef>
              <c:f>Analysis!$E$6:$E$13</c:f>
              <c:strCache>
                <c:ptCount val="8"/>
                <c:pt idx="0">
                  <c:v>Analytics</c:v>
                </c:pt>
                <c:pt idx="1">
                  <c:v>AI</c:v>
                </c:pt>
                <c:pt idx="2">
                  <c:v>Collaboration</c:v>
                </c:pt>
                <c:pt idx="3">
                  <c:v>Automation</c:v>
                </c:pt>
                <c:pt idx="4">
                  <c:v>Security</c:v>
                </c:pt>
                <c:pt idx="5">
                  <c:v>Apps</c:v>
                </c:pt>
                <c:pt idx="6">
                  <c:v>CRM</c:v>
                </c:pt>
                <c:pt idx="7">
                  <c:v>Core M365</c:v>
                </c:pt>
              </c:strCache>
            </c:strRef>
          </c:cat>
          <c:val>
            <c:numRef>
              <c:f>Analysis!$F$6:$F$13</c:f>
              <c:numCache>
                <c:formatCode>General</c:formatCode>
                <c:ptCount val="8"/>
                <c:pt idx="0">
                  <c:v>7</c:v>
                </c:pt>
                <c:pt idx="1">
                  <c:v>3</c:v>
                </c:pt>
                <c:pt idx="2">
                  <c:v>3</c:v>
                </c:pt>
                <c:pt idx="3">
                  <c:v>2</c:v>
                </c:pt>
                <c:pt idx="4">
                  <c:v>2</c:v>
                </c:pt>
                <c:pt idx="5">
                  <c:v>2</c:v>
                </c:pt>
                <c:pt idx="6">
                  <c:v>1</c:v>
                </c:pt>
                <c:pt idx="7">
                  <c:v>4</c:v>
                </c:pt>
              </c:numCache>
            </c:numRef>
          </c:val>
          <c:extLst>
            <c:ext xmlns:c16="http://schemas.microsoft.com/office/drawing/2014/chart" uri="{C3380CC4-5D6E-409C-BE32-E72D297353CC}">
              <c16:uniqueId val="{00000000-A9B2-4979-BE04-ABE9A059F0FF}"/>
            </c:ext>
          </c:extLst>
        </c:ser>
        <c:dLbls>
          <c:showLegendKey val="0"/>
          <c:showVal val="0"/>
          <c:showCatName val="0"/>
          <c:showSerName val="0"/>
          <c:showPercent val="0"/>
          <c:showBubbleSize val="0"/>
        </c:dLbls>
        <c:gapWidth val="182"/>
        <c:axId val="514667887"/>
        <c:axId val="514684687"/>
      </c:barChart>
      <c:catAx>
        <c:axId val="514667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684687"/>
        <c:crosses val="autoZero"/>
        <c:auto val="1"/>
        <c:lblAlgn val="ctr"/>
        <c:lblOffset val="100"/>
        <c:noMultiLvlLbl val="0"/>
      </c:catAx>
      <c:valAx>
        <c:axId val="514684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667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F2041"/>
                </a:solidFill>
                <a:latin typeface="+mn-lt"/>
                <a:ea typeface="+mn-ea"/>
                <a:cs typeface="+mn-cs"/>
              </a:defRPr>
            </a:pPr>
            <a:r>
              <a:rPr lang="en-US"/>
              <a:t>Attempts by Billing Account</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F2041"/>
              </a:solidFill>
              <a:latin typeface="+mn-lt"/>
              <a:ea typeface="+mn-ea"/>
              <a:cs typeface="+mn-cs"/>
            </a:defRPr>
          </a:pPr>
          <a:endParaRPr lang="en-US"/>
        </a:p>
      </c:txPr>
    </c:title>
    <c:autoTitleDeleted val="0"/>
    <c:plotArea>
      <c:layout/>
      <c:doughnutChart>
        <c:varyColors val="1"/>
        <c:ser>
          <c:idx val="0"/>
          <c:order val="0"/>
          <c:tx>
            <c:strRef>
              <c:f>Analysis!$C$20</c:f>
              <c:strCache>
                <c:ptCount val="1"/>
                <c:pt idx="0">
                  <c:v>attempts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C3-44FD-ABCB-2772B77B2A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C3-44FD-ABCB-2772B77B2A5B}"/>
              </c:ext>
            </c:extLst>
          </c:dPt>
          <c:cat>
            <c:strRef>
              <c:f>Analysis!$B$21:$B$22</c:f>
              <c:strCache>
                <c:ptCount val="2"/>
                <c:pt idx="0">
                  <c:v>MCA</c:v>
                </c:pt>
                <c:pt idx="1">
                  <c:v>M365 Commerce</c:v>
                </c:pt>
              </c:strCache>
            </c:strRef>
          </c:cat>
          <c:val>
            <c:numRef>
              <c:f>Analysis!$C$21:$C$22</c:f>
              <c:numCache>
                <c:formatCode>General</c:formatCode>
                <c:ptCount val="2"/>
                <c:pt idx="0">
                  <c:v>20</c:v>
                </c:pt>
                <c:pt idx="1">
                  <c:v>4</c:v>
                </c:pt>
              </c:numCache>
            </c:numRef>
          </c:val>
          <c:extLst>
            <c:ext xmlns:c16="http://schemas.microsoft.com/office/drawing/2014/chart" uri="{C3380CC4-5D6E-409C-BE32-E72D297353CC}">
              <c16:uniqueId val="{00000000-E0F8-459B-AB4A-F18B2930A9D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0</xdr:rowOff>
    </xdr:from>
    <xdr:to>
      <xdr:col>6</xdr:col>
      <xdr:colOff>0</xdr:colOff>
      <xdr:row>20</xdr:row>
      <xdr:rowOff>0</xdr:rowOff>
    </xdr:to>
    <xdr:graphicFrame macro="">
      <xdr:nvGraphicFramePr>
        <xdr:cNvPr id="5" name="Chart 4">
          <a:extLst>
            <a:ext uri="{FF2B5EF4-FFF2-40B4-BE49-F238E27FC236}">
              <a16:creationId xmlns:a16="http://schemas.microsoft.com/office/drawing/2014/main" id="{0731177D-56C6-A56A-5CDF-9BD4F1E07C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6</xdr:row>
      <xdr:rowOff>0</xdr:rowOff>
    </xdr:from>
    <xdr:to>
      <xdr:col>13</xdr:col>
      <xdr:colOff>0</xdr:colOff>
      <xdr:row>20</xdr:row>
      <xdr:rowOff>0</xdr:rowOff>
    </xdr:to>
    <xdr:graphicFrame macro="">
      <xdr:nvGraphicFramePr>
        <xdr:cNvPr id="6" name="Chart 5">
          <a:extLst>
            <a:ext uri="{FF2B5EF4-FFF2-40B4-BE49-F238E27FC236}">
              <a16:creationId xmlns:a16="http://schemas.microsoft.com/office/drawing/2014/main" id="{CF2FBA7B-7D6A-25B9-7790-1B9F55226D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21</xdr:row>
      <xdr:rowOff>0</xdr:rowOff>
    </xdr:from>
    <xdr:to>
      <xdr:col>6</xdr:col>
      <xdr:colOff>0</xdr:colOff>
      <xdr:row>36</xdr:row>
      <xdr:rowOff>0</xdr:rowOff>
    </xdr:to>
    <xdr:graphicFrame macro="">
      <xdr:nvGraphicFramePr>
        <xdr:cNvPr id="7" name="Chart 6">
          <a:extLst>
            <a:ext uri="{FF2B5EF4-FFF2-40B4-BE49-F238E27FC236}">
              <a16:creationId xmlns:a16="http://schemas.microsoft.com/office/drawing/2014/main" id="{E7C01EFB-C0CF-B9F8-0540-11AEB56E40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21</xdr:row>
      <xdr:rowOff>0</xdr:rowOff>
    </xdr:from>
    <xdr:to>
      <xdr:col>10</xdr:col>
      <xdr:colOff>0</xdr:colOff>
      <xdr:row>36</xdr:row>
      <xdr:rowOff>0</xdr:rowOff>
    </xdr:to>
    <xdr:graphicFrame macro="">
      <xdr:nvGraphicFramePr>
        <xdr:cNvPr id="8" name="Chart 7">
          <a:extLst>
            <a:ext uri="{FF2B5EF4-FFF2-40B4-BE49-F238E27FC236}">
              <a16:creationId xmlns:a16="http://schemas.microsoft.com/office/drawing/2014/main" id="{6F00A9E6-D0A7-C364-8AD5-2F0414BF46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xdr:colOff>
      <xdr:row>21</xdr:row>
      <xdr:rowOff>0</xdr:rowOff>
    </xdr:from>
    <xdr:to>
      <xdr:col>13</xdr:col>
      <xdr:colOff>1</xdr:colOff>
      <xdr:row>36</xdr:row>
      <xdr:rowOff>0</xdr:rowOff>
    </xdr:to>
    <xdr:graphicFrame macro="">
      <xdr:nvGraphicFramePr>
        <xdr:cNvPr id="9" name="Chart 8">
          <a:extLst>
            <a:ext uri="{FF2B5EF4-FFF2-40B4-BE49-F238E27FC236}">
              <a16:creationId xmlns:a16="http://schemas.microsoft.com/office/drawing/2014/main" id="{F1C8CC76-C2B9-54CD-2E32-A55B2137E0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0513217-D177-4F5E-B7BB-C71D2A038FAC}" name="licensing_attempts" displayName="licensing_attempts" ref="B4:J28" totalsRowShown="0" headerRowDxfId="16" dataDxfId="15">
  <autoFilter ref="B4:J28" xr:uid="{30513217-D177-4F5E-B7BB-C71D2A038FAC}"/>
  <tableColumns count="9">
    <tableColumn id="1" xr3:uid="{D48CA6CF-EA20-4108-8008-4F1CE3DF67B6}" name="attempt_id" dataDxfId="14"/>
    <tableColumn id="2" xr3:uid="{92291B0F-F8DC-4965-A51C-13DAD815503A}" name="attempt_date" dataDxfId="13"/>
    <tableColumn id="3" xr3:uid="{6907272A-A054-41D8-A1AE-C786AD39CAFA}" name="product" dataDxfId="12"/>
    <tableColumn id="4" xr3:uid="{7BCBBD83-2219-4477-9992-1A5245D45D38}" name="category" dataDxfId="11"/>
    <tableColumn id="5" xr3:uid="{3E6AFE4A-D659-4881-9C28-C73666B1BFFB}" name="result" dataDxfId="10"/>
    <tableColumn id="6" xr3:uid="{9E526AE1-EA26-4FEF-9808-7DDF9682471B}" name="error_message" dataDxfId="9"/>
    <tableColumn id="7" xr3:uid="{18AEF1D7-2FD9-4EE5-A20D-160AC87143C4}" name="billing_account" dataDxfId="8"/>
    <tableColumn id="8" xr3:uid="{C945E055-03CF-45E5-8DFA-0FA0FC37A1F5}" name="time_lost_min" dataDxfId="7"/>
    <tableColumn id="9" xr3:uid="{19AD78BF-C94B-475D-9A43-AFD7359387FC}" name="support_contacted"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FD9C977-F3FE-4C29-8ECF-BEF0774DBCA6}" name="frustration_scores" displayName="frustration_scores" ref="L4:O16" totalsRowShown="0" headerRowDxfId="5" dataDxfId="4">
  <autoFilter ref="L4:O16" xr:uid="{CFD9C977-F3FE-4C29-8ECF-BEF0774DBCA6}"/>
  <tableColumns count="4">
    <tableColumn id="1" xr3:uid="{624F0D15-68C5-46A5-A4FC-BDF724C42E54}" name="step_order" dataDxfId="3"/>
    <tableColumn id="2" xr3:uid="{79315AC2-DCC3-4A94-AC26-A612BE9B7B55}" name="step" dataDxfId="2"/>
    <tableColumn id="3" xr3:uid="{74383A5E-3E91-4BF6-8A74-9DA310342756}" name="phase" dataDxfId="1"/>
    <tableColumn id="4" xr3:uid="{0D59DB4C-4B68-42D8-86EE-473B29438F32}" name="frustration_scor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114" row="5">
    <wetp:webextensionref xmlns:r="http://schemas.openxmlformats.org/officeDocument/2006/relationships" r:id="rId1"/>
  </wetp:taskpane>
  <wetp:taskpane dockstate="right" visibility="0" width="350" row="6">
    <wetp:webextensionref xmlns:r="http://schemas.openxmlformats.org/officeDocument/2006/relationships" r:id="rId2"/>
  </wetp:taskpane>
</wetp:taskpanes>
</file>

<file path=xl/webextensions/webextension1.xml><?xml version="1.0" encoding="utf-8"?>
<we:webextension xmlns:we="http://schemas.microsoft.com/office/webextensions/webextension/2010/11" id="{075DAB21-C00B-4632-9DD8-64D73D091A5E}">
  <we:reference id="wa200009404" version="1.0.0.8" store="en-US" storeType="OMEX"/>
  <we:alternateReferences>
    <we:reference id="WA200009404" version="1.0.0.8" store="WA200009404" storeType="OMEX"/>
  </we:alternateReferences>
  <we:properties>
    <we:property name="claude.fileId" value="&quot;95481fe1-e347-461a-84f7-e313924771d8&quot;"/>
  </we:properties>
  <we:bindings/>
  <we:snapshot xmlns:r="http://schemas.openxmlformats.org/officeDocument/2006/relationships"/>
</we:webextension>
</file>

<file path=xl/webextensions/webextension2.xml><?xml version="1.0" encoding="utf-8"?>
<we:webextension xmlns:we="http://schemas.microsoft.com/office/webextensions/webextension/2010/11" id="{86FE568C-96BA-46FC-A394-1462E4B2161A}">
  <we:reference id="11d7cf85-ae5a-43b8-bc58-1e1a151cce24" version="1.0.0.1" store="EXCatalog" storeType="EXCatalog"/>
  <we:alternateReferences>
    <we:reference id="WA200010725" version="1.0.0.1" store="en-US" storeType="OMEX"/>
  </we:alternateReferences>
  <we:properties>
    <we:property name="claude.fileId" value="&quot;a6bd3b43-0625-4629-9f67-b634182a2573&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9A463-3E80-4A66-A388-593251B3F9E9}">
  <dimension ref="B2:K32"/>
  <sheetViews>
    <sheetView showGridLines="0" tabSelected="1" workbookViewId="0">
      <selection activeCell="K42" sqref="K42"/>
    </sheetView>
  </sheetViews>
  <sheetFormatPr defaultRowHeight="15" x14ac:dyDescent="0.25"/>
  <cols>
    <col min="1" max="1" width="4" customWidth="1"/>
    <col min="2" max="2" width="21.625" customWidth="1"/>
    <col min="3" max="3" width="18.375" customWidth="1"/>
    <col min="4" max="4" width="9.125" customWidth="1"/>
    <col min="5" max="5" width="53.375" customWidth="1"/>
  </cols>
  <sheetData>
    <row r="2" spans="2:11" ht="20.25" x14ac:dyDescent="0.25">
      <c r="B2" s="73" t="s">
        <v>0</v>
      </c>
      <c r="C2" s="73"/>
      <c r="D2" s="73"/>
      <c r="E2" s="73"/>
      <c r="F2" s="73"/>
      <c r="G2" s="73"/>
      <c r="H2" s="73"/>
      <c r="I2" s="73"/>
      <c r="J2" s="73"/>
      <c r="K2" s="73"/>
    </row>
    <row r="3" spans="2:11" ht="52.5" customHeight="1" x14ac:dyDescent="0.25">
      <c r="B3" s="74" t="s">
        <v>1</v>
      </c>
      <c r="C3" s="74"/>
      <c r="D3" s="74"/>
      <c r="E3" s="74"/>
      <c r="F3" s="74"/>
      <c r="G3" s="74"/>
      <c r="H3" s="74"/>
      <c r="I3" s="74"/>
      <c r="J3" s="74"/>
      <c r="K3" s="74"/>
    </row>
    <row r="4" spans="2:11" ht="25.5" customHeight="1" x14ac:dyDescent="0.25">
      <c r="B4" s="75" t="s">
        <v>2</v>
      </c>
      <c r="C4" s="75"/>
      <c r="D4" s="75"/>
      <c r="E4" s="75"/>
      <c r="F4" s="75"/>
      <c r="G4" s="75"/>
      <c r="H4" s="75"/>
      <c r="I4" s="75"/>
      <c r="J4" s="75"/>
      <c r="K4" s="75"/>
    </row>
    <row r="5" spans="2:11" ht="17.25" customHeight="1" x14ac:dyDescent="0.25">
      <c r="B5" s="76" t="s">
        <v>3</v>
      </c>
      <c r="C5" s="76"/>
      <c r="D5" s="76"/>
      <c r="E5" s="76"/>
      <c r="F5" s="76"/>
      <c r="G5" s="76"/>
      <c r="H5" s="76"/>
      <c r="I5" s="76"/>
      <c r="J5" s="76"/>
      <c r="K5" s="76"/>
    </row>
    <row r="6" spans="2:11" x14ac:dyDescent="0.25">
      <c r="B6" s="77"/>
      <c r="C6" s="77"/>
      <c r="D6" s="77"/>
      <c r="E6" s="77"/>
      <c r="F6" s="77"/>
      <c r="G6" s="77"/>
      <c r="H6" s="77"/>
      <c r="I6" s="77"/>
      <c r="J6" s="77"/>
      <c r="K6" s="77"/>
    </row>
    <row r="7" spans="2:11" ht="3.95" customHeight="1" x14ac:dyDescent="0.25">
      <c r="B7" s="2"/>
      <c r="C7" s="2"/>
      <c r="D7" s="2"/>
      <c r="E7" s="2"/>
      <c r="F7" s="2"/>
      <c r="G7" s="2"/>
      <c r="H7" s="2"/>
      <c r="I7" s="2"/>
      <c r="J7" s="2"/>
      <c r="K7" s="2"/>
    </row>
    <row r="9" spans="2:11" ht="20.25" x14ac:dyDescent="0.35">
      <c r="B9" s="3" t="s">
        <v>4</v>
      </c>
    </row>
    <row r="10" spans="2:11" ht="16.5" x14ac:dyDescent="0.3">
      <c r="B10" s="19" t="s">
        <v>5</v>
      </c>
    </row>
    <row r="12" spans="2:11" x14ac:dyDescent="0.25">
      <c r="B12" s="5" t="s">
        <v>6</v>
      </c>
      <c r="C12" s="6" t="s">
        <v>7</v>
      </c>
    </row>
    <row r="13" spans="2:11" x14ac:dyDescent="0.25">
      <c r="B13" s="5" t="s">
        <v>8</v>
      </c>
      <c r="C13" s="7">
        <v>46174</v>
      </c>
    </row>
    <row r="15" spans="2:11" ht="20.25" x14ac:dyDescent="0.35">
      <c r="B15" s="3" t="s">
        <v>9</v>
      </c>
    </row>
    <row r="16" spans="2:11" x14ac:dyDescent="0.25">
      <c r="B16" s="10" t="s">
        <v>10</v>
      </c>
      <c r="C16" s="11" t="s">
        <v>11</v>
      </c>
      <c r="D16" s="11" t="s">
        <v>12</v>
      </c>
      <c r="E16" s="12" t="s">
        <v>13</v>
      </c>
    </row>
    <row r="17" spans="2:5" x14ac:dyDescent="0.25">
      <c r="B17" s="13" t="s">
        <v>14</v>
      </c>
      <c r="C17" s="14" t="s">
        <v>15</v>
      </c>
      <c r="D17" s="14" t="s">
        <v>16</v>
      </c>
      <c r="E17" s="15" t="s">
        <v>17</v>
      </c>
    </row>
    <row r="18" spans="2:5" x14ac:dyDescent="0.25">
      <c r="B18" s="13" t="s">
        <v>14</v>
      </c>
      <c r="C18" s="14" t="s">
        <v>18</v>
      </c>
      <c r="D18" s="14" t="s">
        <v>19</v>
      </c>
      <c r="E18" s="15" t="s">
        <v>20</v>
      </c>
    </row>
    <row r="19" spans="2:5" x14ac:dyDescent="0.25">
      <c r="B19" s="13" t="s">
        <v>14</v>
      </c>
      <c r="C19" s="14" t="s">
        <v>21</v>
      </c>
      <c r="D19" s="14" t="s">
        <v>19</v>
      </c>
      <c r="E19" s="15" t="s">
        <v>22</v>
      </c>
    </row>
    <row r="20" spans="2:5" x14ac:dyDescent="0.25">
      <c r="B20" s="13" t="s">
        <v>14</v>
      </c>
      <c r="C20" s="14" t="s">
        <v>23</v>
      </c>
      <c r="D20" s="14" t="s">
        <v>19</v>
      </c>
      <c r="E20" s="15" t="s">
        <v>24</v>
      </c>
    </row>
    <row r="21" spans="2:5" x14ac:dyDescent="0.25">
      <c r="B21" s="13" t="s">
        <v>14</v>
      </c>
      <c r="C21" s="14" t="s">
        <v>25</v>
      </c>
      <c r="D21" s="14" t="s">
        <v>16</v>
      </c>
      <c r="E21" s="15" t="s">
        <v>26</v>
      </c>
    </row>
    <row r="22" spans="2:5" x14ac:dyDescent="0.25">
      <c r="B22" s="13" t="s">
        <v>27</v>
      </c>
      <c r="C22" s="14" t="s">
        <v>28</v>
      </c>
      <c r="D22" s="14" t="s">
        <v>19</v>
      </c>
      <c r="E22" s="15" t="s">
        <v>29</v>
      </c>
    </row>
    <row r="23" spans="2:5" x14ac:dyDescent="0.25">
      <c r="B23" s="16" t="s">
        <v>27</v>
      </c>
      <c r="C23" s="17" t="s">
        <v>30</v>
      </c>
      <c r="D23" s="17" t="s">
        <v>16</v>
      </c>
      <c r="E23" s="18" t="s">
        <v>31</v>
      </c>
    </row>
    <row r="25" spans="2:5" ht="20.25" x14ac:dyDescent="0.35">
      <c r="B25" s="3" t="s">
        <v>212</v>
      </c>
    </row>
    <row r="26" spans="2:5" x14ac:dyDescent="0.25">
      <c r="B26" s="6" t="s">
        <v>213</v>
      </c>
    </row>
    <row r="27" spans="2:5" x14ac:dyDescent="0.25">
      <c r="B27" s="6" t="s">
        <v>214</v>
      </c>
    </row>
    <row r="28" spans="2:5" x14ac:dyDescent="0.25">
      <c r="B28" s="6" t="s">
        <v>215</v>
      </c>
    </row>
    <row r="29" spans="2:5" x14ac:dyDescent="0.25">
      <c r="B29" s="6" t="s">
        <v>216</v>
      </c>
    </row>
    <row r="30" spans="2:5" x14ac:dyDescent="0.25">
      <c r="B30" s="6" t="s">
        <v>217</v>
      </c>
    </row>
    <row r="32" spans="2:5" x14ac:dyDescent="0.25">
      <c r="B32" s="69" t="s">
        <v>218</v>
      </c>
    </row>
  </sheetData>
  <mergeCells count="5">
    <mergeCell ref="B2:K2"/>
    <mergeCell ref="B3:K3"/>
    <mergeCell ref="B4:K4"/>
    <mergeCell ref="B5:K5"/>
    <mergeCell ref="B6:K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B9CCD-257B-4439-8B7F-4176C26A73D6}">
  <dimension ref="B2:O28"/>
  <sheetViews>
    <sheetView workbookViewId="0"/>
  </sheetViews>
  <sheetFormatPr defaultRowHeight="16.5" x14ac:dyDescent="0.3"/>
  <cols>
    <col min="2" max="2" width="10.875" style="8" customWidth="1"/>
    <col min="3" max="3" width="15" style="8" customWidth="1"/>
    <col min="4" max="4" width="27.5" style="8" customWidth="1"/>
    <col min="5" max="5" width="16.625" style="8" customWidth="1"/>
    <col min="6" max="6" width="11.625" style="8" customWidth="1"/>
    <col min="7" max="7" width="27.5" style="8" customWidth="1"/>
    <col min="8" max="8" width="18.375" style="8" customWidth="1"/>
    <col min="9" max="9" width="15.875" style="8" customWidth="1"/>
    <col min="10" max="10" width="18.375" customWidth="1"/>
    <col min="11" max="11" width="4" customWidth="1"/>
    <col min="12" max="12" width="11.625" customWidth="1"/>
    <col min="13" max="13" width="30.875" customWidth="1"/>
    <col min="14" max="14" width="17.5" customWidth="1"/>
    <col min="15" max="15" width="18.375" customWidth="1"/>
  </cols>
  <sheetData>
    <row r="2" spans="2:15" ht="20.25" x14ac:dyDescent="0.35">
      <c r="B2" s="3" t="s">
        <v>32</v>
      </c>
    </row>
    <row r="4" spans="2:15" ht="15" x14ac:dyDescent="0.25">
      <c r="B4" s="9" t="s">
        <v>15</v>
      </c>
      <c r="C4" s="9" t="s">
        <v>91</v>
      </c>
      <c r="D4" s="9" t="s">
        <v>92</v>
      </c>
      <c r="E4" s="9" t="s">
        <v>93</v>
      </c>
      <c r="F4" s="9" t="s">
        <v>21</v>
      </c>
      <c r="G4" s="9" t="s">
        <v>23</v>
      </c>
      <c r="H4" s="9" t="s">
        <v>94</v>
      </c>
      <c r="I4" s="9" t="s">
        <v>25</v>
      </c>
      <c r="J4" s="9" t="s">
        <v>95</v>
      </c>
      <c r="K4" s="9"/>
      <c r="L4" s="9" t="s">
        <v>133</v>
      </c>
      <c r="M4" s="9" t="s">
        <v>28</v>
      </c>
      <c r="N4" s="9" t="s">
        <v>134</v>
      </c>
      <c r="O4" s="9" t="s">
        <v>30</v>
      </c>
    </row>
    <row r="5" spans="2:15" ht="15" x14ac:dyDescent="0.25">
      <c r="B5" s="9">
        <v>1</v>
      </c>
      <c r="C5" s="39">
        <f>DATE(2026,6,2)</f>
        <v>46175</v>
      </c>
      <c r="D5" s="9" t="s">
        <v>33</v>
      </c>
      <c r="E5" s="9" t="s">
        <v>96</v>
      </c>
      <c r="F5" s="9" t="s">
        <v>34</v>
      </c>
      <c r="G5" s="9" t="s">
        <v>35</v>
      </c>
      <c r="H5" s="9" t="s">
        <v>97</v>
      </c>
      <c r="I5" s="9">
        <v>15</v>
      </c>
      <c r="J5" s="9" t="s">
        <v>98</v>
      </c>
      <c r="K5" s="9"/>
      <c r="L5" s="9">
        <v>1</v>
      </c>
      <c r="M5" s="9" t="s">
        <v>135</v>
      </c>
      <c r="N5" s="9" t="s">
        <v>136</v>
      </c>
      <c r="O5" s="9">
        <v>3</v>
      </c>
    </row>
    <row r="6" spans="2:15" ht="15" x14ac:dyDescent="0.25">
      <c r="B6" s="9">
        <v>2</v>
      </c>
      <c r="C6" s="39">
        <f>DATE(2026,6,2)</f>
        <v>46175</v>
      </c>
      <c r="D6" s="9" t="s">
        <v>36</v>
      </c>
      <c r="E6" s="9" t="s">
        <v>96</v>
      </c>
      <c r="F6" s="9" t="s">
        <v>34</v>
      </c>
      <c r="G6" s="9" t="s">
        <v>35</v>
      </c>
      <c r="H6" s="9" t="s">
        <v>97</v>
      </c>
      <c r="I6" s="9">
        <v>10</v>
      </c>
      <c r="J6" s="9" t="s">
        <v>98</v>
      </c>
      <c r="K6" s="9"/>
      <c r="L6" s="9">
        <v>2</v>
      </c>
      <c r="M6" s="9" t="s">
        <v>137</v>
      </c>
      <c r="N6" s="9" t="s">
        <v>136</v>
      </c>
      <c r="O6" s="9">
        <v>4</v>
      </c>
    </row>
    <row r="7" spans="2:15" ht="15" x14ac:dyDescent="0.25">
      <c r="B7" s="9">
        <v>3</v>
      </c>
      <c r="C7" s="39">
        <f>DATE(2026,6,3)</f>
        <v>46176</v>
      </c>
      <c r="D7" s="9" t="s">
        <v>37</v>
      </c>
      <c r="E7" s="9" t="s">
        <v>96</v>
      </c>
      <c r="F7" s="9" t="s">
        <v>34</v>
      </c>
      <c r="G7" s="9" t="s">
        <v>38</v>
      </c>
      <c r="H7" s="9" t="s">
        <v>97</v>
      </c>
      <c r="I7" s="9">
        <v>8</v>
      </c>
      <c r="J7" s="9" t="s">
        <v>98</v>
      </c>
      <c r="K7" s="9"/>
      <c r="L7" s="9">
        <v>3</v>
      </c>
      <c r="M7" s="9" t="s">
        <v>44</v>
      </c>
      <c r="N7" s="9" t="s">
        <v>138</v>
      </c>
      <c r="O7" s="9">
        <v>6</v>
      </c>
    </row>
    <row r="8" spans="2:15" ht="15" x14ac:dyDescent="0.25">
      <c r="B8" s="9">
        <v>4</v>
      </c>
      <c r="C8" s="39">
        <f>DATE(2026,6,3)</f>
        <v>46176</v>
      </c>
      <c r="D8" s="9" t="s">
        <v>39</v>
      </c>
      <c r="E8" s="9" t="s">
        <v>99</v>
      </c>
      <c r="F8" s="9" t="s">
        <v>40</v>
      </c>
      <c r="G8" s="9" t="s">
        <v>41</v>
      </c>
      <c r="H8" s="9" t="s">
        <v>100</v>
      </c>
      <c r="I8" s="9">
        <v>5</v>
      </c>
      <c r="J8" s="9" t="s">
        <v>98</v>
      </c>
      <c r="K8" s="9"/>
      <c r="L8" s="9">
        <v>4</v>
      </c>
      <c r="M8" s="9" t="s">
        <v>139</v>
      </c>
      <c r="N8" s="9" t="s">
        <v>138</v>
      </c>
      <c r="O8" s="9">
        <v>5</v>
      </c>
    </row>
    <row r="9" spans="2:15" ht="15" x14ac:dyDescent="0.25">
      <c r="B9" s="9">
        <v>5</v>
      </c>
      <c r="C9" s="39">
        <f>DATE(2026,6,4)</f>
        <v>46177</v>
      </c>
      <c r="D9" s="9" t="s">
        <v>42</v>
      </c>
      <c r="E9" s="9" t="s">
        <v>96</v>
      </c>
      <c r="F9" s="9" t="s">
        <v>34</v>
      </c>
      <c r="G9" s="9" t="s">
        <v>43</v>
      </c>
      <c r="H9" s="9" t="s">
        <v>97</v>
      </c>
      <c r="I9" s="9">
        <v>20</v>
      </c>
      <c r="J9" s="9" t="s">
        <v>101</v>
      </c>
      <c r="K9" s="9"/>
      <c r="L9" s="9">
        <v>5</v>
      </c>
      <c r="M9" s="9" t="s">
        <v>45</v>
      </c>
      <c r="N9" s="9" t="s">
        <v>138</v>
      </c>
      <c r="O9" s="9">
        <v>7</v>
      </c>
    </row>
    <row r="10" spans="2:15" ht="15" x14ac:dyDescent="0.25">
      <c r="B10" s="9">
        <v>6</v>
      </c>
      <c r="C10" s="39">
        <f>DATE(2026,6,4)</f>
        <v>46177</v>
      </c>
      <c r="D10" s="9" t="s">
        <v>102</v>
      </c>
      <c r="E10" s="9" t="s">
        <v>103</v>
      </c>
      <c r="F10" s="9" t="s">
        <v>34</v>
      </c>
      <c r="G10" s="9" t="s">
        <v>104</v>
      </c>
      <c r="H10" s="9" t="s">
        <v>97</v>
      </c>
      <c r="I10" s="9">
        <v>25</v>
      </c>
      <c r="J10" s="9" t="s">
        <v>98</v>
      </c>
      <c r="K10" s="9"/>
      <c r="L10" s="9">
        <v>6</v>
      </c>
      <c r="M10" s="9" t="s">
        <v>140</v>
      </c>
      <c r="N10" s="9" t="s">
        <v>138</v>
      </c>
      <c r="O10" s="9">
        <v>6</v>
      </c>
    </row>
    <row r="11" spans="2:15" ht="15" x14ac:dyDescent="0.25">
      <c r="B11" s="9">
        <v>7</v>
      </c>
      <c r="C11" s="39">
        <f>DATE(2026,6,5)</f>
        <v>46178</v>
      </c>
      <c r="D11" s="9" t="s">
        <v>105</v>
      </c>
      <c r="E11" s="9" t="s">
        <v>103</v>
      </c>
      <c r="F11" s="9" t="s">
        <v>34</v>
      </c>
      <c r="G11" s="9" t="s">
        <v>43</v>
      </c>
      <c r="H11" s="9" t="s">
        <v>97</v>
      </c>
      <c r="I11" s="9">
        <v>18</v>
      </c>
      <c r="J11" s="9" t="s">
        <v>98</v>
      </c>
      <c r="K11" s="9"/>
      <c r="L11" s="9">
        <v>7</v>
      </c>
      <c r="M11" s="9" t="s">
        <v>141</v>
      </c>
      <c r="N11" s="9" t="s">
        <v>136</v>
      </c>
      <c r="O11" s="9">
        <v>8</v>
      </c>
    </row>
    <row r="12" spans="2:15" ht="15" x14ac:dyDescent="0.25">
      <c r="B12" s="9">
        <v>8</v>
      </c>
      <c r="C12" s="39">
        <f>DATE(2026,6,5)</f>
        <v>46178</v>
      </c>
      <c r="D12" s="9" t="s">
        <v>106</v>
      </c>
      <c r="E12" s="9" t="s">
        <v>107</v>
      </c>
      <c r="F12" s="9" t="s">
        <v>34</v>
      </c>
      <c r="G12" s="9" t="s">
        <v>108</v>
      </c>
      <c r="H12" s="9" t="s">
        <v>97</v>
      </c>
      <c r="I12" s="9">
        <v>12</v>
      </c>
      <c r="J12" s="9" t="s">
        <v>98</v>
      </c>
      <c r="K12" s="9"/>
      <c r="L12" s="9">
        <v>8</v>
      </c>
      <c r="M12" s="9" t="s">
        <v>142</v>
      </c>
      <c r="N12" s="9" t="s">
        <v>143</v>
      </c>
      <c r="O12" s="9">
        <v>9</v>
      </c>
    </row>
    <row r="13" spans="2:15" ht="15" x14ac:dyDescent="0.25">
      <c r="B13" s="9">
        <v>9</v>
      </c>
      <c r="C13" s="39">
        <f>DATE(2026,6,6)</f>
        <v>46179</v>
      </c>
      <c r="D13" s="9" t="s">
        <v>109</v>
      </c>
      <c r="E13" s="9" t="s">
        <v>107</v>
      </c>
      <c r="F13" s="9" t="s">
        <v>34</v>
      </c>
      <c r="G13" s="9" t="s">
        <v>35</v>
      </c>
      <c r="H13" s="9" t="s">
        <v>97</v>
      </c>
      <c r="I13" s="9">
        <v>14</v>
      </c>
      <c r="J13" s="9" t="s">
        <v>98</v>
      </c>
      <c r="K13" s="9"/>
      <c r="L13" s="9">
        <v>9</v>
      </c>
      <c r="M13" s="9" t="s">
        <v>144</v>
      </c>
      <c r="N13" s="9" t="s">
        <v>143</v>
      </c>
      <c r="O13" s="9">
        <v>8</v>
      </c>
    </row>
    <row r="14" spans="2:15" ht="15" x14ac:dyDescent="0.25">
      <c r="B14" s="9">
        <v>10</v>
      </c>
      <c r="C14" s="39">
        <f>DATE(2026,6,6)</f>
        <v>46179</v>
      </c>
      <c r="D14" s="9" t="s">
        <v>110</v>
      </c>
      <c r="E14" s="9" t="s">
        <v>96</v>
      </c>
      <c r="F14" s="9" t="s">
        <v>34</v>
      </c>
      <c r="G14" s="9" t="s">
        <v>111</v>
      </c>
      <c r="H14" s="9" t="s">
        <v>97</v>
      </c>
      <c r="I14" s="9">
        <v>22</v>
      </c>
      <c r="J14" s="9" t="s">
        <v>101</v>
      </c>
      <c r="K14" s="9"/>
      <c r="L14" s="9">
        <v>10</v>
      </c>
      <c r="M14" s="9" t="s">
        <v>145</v>
      </c>
      <c r="N14" s="9" t="s">
        <v>143</v>
      </c>
      <c r="O14" s="9">
        <v>9</v>
      </c>
    </row>
    <row r="15" spans="2:15" ht="15" x14ac:dyDescent="0.25">
      <c r="B15" s="9">
        <v>11</v>
      </c>
      <c r="C15" s="39">
        <f>DATE(2026,6,8)</f>
        <v>46181</v>
      </c>
      <c r="D15" s="9" t="s">
        <v>112</v>
      </c>
      <c r="E15" s="9" t="s">
        <v>113</v>
      </c>
      <c r="F15" s="9" t="s">
        <v>34</v>
      </c>
      <c r="G15" s="9" t="s">
        <v>104</v>
      </c>
      <c r="H15" s="9" t="s">
        <v>97</v>
      </c>
      <c r="I15" s="9">
        <v>16</v>
      </c>
      <c r="J15" s="9" t="s">
        <v>98</v>
      </c>
      <c r="K15" s="9"/>
      <c r="L15" s="9">
        <v>11</v>
      </c>
      <c r="M15" s="9" t="s">
        <v>46</v>
      </c>
      <c r="N15" s="9" t="s">
        <v>143</v>
      </c>
      <c r="O15" s="9">
        <v>10</v>
      </c>
    </row>
    <row r="16" spans="2:15" ht="15" x14ac:dyDescent="0.25">
      <c r="B16" s="9">
        <v>12</v>
      </c>
      <c r="C16" s="39">
        <f>DATE(2026,6,8)</f>
        <v>46181</v>
      </c>
      <c r="D16" s="9" t="s">
        <v>114</v>
      </c>
      <c r="E16" s="9" t="s">
        <v>113</v>
      </c>
      <c r="F16" s="9" t="s">
        <v>34</v>
      </c>
      <c r="G16" s="9" t="s">
        <v>35</v>
      </c>
      <c r="H16" s="9" t="s">
        <v>97</v>
      </c>
      <c r="I16" s="9">
        <v>11</v>
      </c>
      <c r="J16" s="9" t="s">
        <v>98</v>
      </c>
      <c r="K16" s="9"/>
      <c r="L16" s="9">
        <v>12</v>
      </c>
      <c r="M16" s="9" t="s">
        <v>146</v>
      </c>
      <c r="N16" s="9" t="s">
        <v>147</v>
      </c>
      <c r="O16" s="9">
        <v>7</v>
      </c>
    </row>
    <row r="17" spans="2:15" ht="15" x14ac:dyDescent="0.25">
      <c r="B17" s="9">
        <v>13</v>
      </c>
      <c r="C17" s="39">
        <f>DATE(2026,6,9)</f>
        <v>46182</v>
      </c>
      <c r="D17" s="9" t="s">
        <v>115</v>
      </c>
      <c r="E17" s="9" t="s">
        <v>99</v>
      </c>
      <c r="F17" s="9" t="s">
        <v>40</v>
      </c>
      <c r="G17" s="9" t="s">
        <v>41</v>
      </c>
      <c r="H17" s="9" t="s">
        <v>100</v>
      </c>
      <c r="I17" s="9">
        <v>6</v>
      </c>
      <c r="J17" s="9" t="s">
        <v>98</v>
      </c>
      <c r="K17" s="9"/>
      <c r="L17" s="9"/>
      <c r="M17" s="9"/>
      <c r="N17" s="9"/>
      <c r="O17" s="9"/>
    </row>
    <row r="18" spans="2:15" ht="15" x14ac:dyDescent="0.25">
      <c r="B18" s="9">
        <v>14</v>
      </c>
      <c r="C18" s="39">
        <f>DATE(2026,6,9)</f>
        <v>46182</v>
      </c>
      <c r="D18" s="9" t="s">
        <v>116</v>
      </c>
      <c r="E18" s="9" t="s">
        <v>117</v>
      </c>
      <c r="F18" s="9" t="s">
        <v>34</v>
      </c>
      <c r="G18" s="9" t="s">
        <v>118</v>
      </c>
      <c r="H18" s="9" t="s">
        <v>97</v>
      </c>
      <c r="I18" s="9">
        <v>9</v>
      </c>
      <c r="J18" s="9" t="s">
        <v>98</v>
      </c>
      <c r="K18" s="9"/>
      <c r="L18" s="9"/>
      <c r="M18" s="9"/>
      <c r="N18" s="9"/>
      <c r="O18" s="9"/>
    </row>
    <row r="19" spans="2:15" ht="15" x14ac:dyDescent="0.25">
      <c r="B19" s="9">
        <v>15</v>
      </c>
      <c r="C19" s="39">
        <f>DATE(2026,6,10)</f>
        <v>46183</v>
      </c>
      <c r="D19" s="9" t="s">
        <v>119</v>
      </c>
      <c r="E19" s="9" t="s">
        <v>117</v>
      </c>
      <c r="F19" s="9" t="s">
        <v>34</v>
      </c>
      <c r="G19" s="9" t="s">
        <v>43</v>
      </c>
      <c r="H19" s="9" t="s">
        <v>97</v>
      </c>
      <c r="I19" s="9">
        <v>13</v>
      </c>
      <c r="J19" s="9" t="s">
        <v>98</v>
      </c>
      <c r="K19" s="9"/>
      <c r="L19" s="9"/>
      <c r="M19" s="9"/>
      <c r="N19" s="9"/>
      <c r="O19" s="9"/>
    </row>
    <row r="20" spans="2:15" ht="15" x14ac:dyDescent="0.25">
      <c r="B20" s="9">
        <v>16</v>
      </c>
      <c r="C20" s="39">
        <f>DATE(2026,6,10)</f>
        <v>46183</v>
      </c>
      <c r="D20" s="9" t="s">
        <v>120</v>
      </c>
      <c r="E20" s="9" t="s">
        <v>121</v>
      </c>
      <c r="F20" s="9" t="s">
        <v>34</v>
      </c>
      <c r="G20" s="9" t="s">
        <v>122</v>
      </c>
      <c r="H20" s="9" t="s">
        <v>97</v>
      </c>
      <c r="I20" s="9">
        <v>7</v>
      </c>
      <c r="J20" s="9" t="s">
        <v>98</v>
      </c>
      <c r="K20" s="9"/>
      <c r="L20" s="9"/>
      <c r="M20" s="9"/>
      <c r="N20" s="9"/>
      <c r="O20" s="9"/>
    </row>
    <row r="21" spans="2:15" ht="15" x14ac:dyDescent="0.25">
      <c r="B21" s="9">
        <v>17</v>
      </c>
      <c r="C21" s="39">
        <f>DATE(2026,6,11)</f>
        <v>46184</v>
      </c>
      <c r="D21" s="9" t="s">
        <v>123</v>
      </c>
      <c r="E21" s="9" t="s">
        <v>121</v>
      </c>
      <c r="F21" s="9" t="s">
        <v>34</v>
      </c>
      <c r="G21" s="9" t="s">
        <v>122</v>
      </c>
      <c r="H21" s="9" t="s">
        <v>97</v>
      </c>
      <c r="I21" s="9">
        <v>8</v>
      </c>
      <c r="J21" s="9" t="s">
        <v>98</v>
      </c>
      <c r="K21" s="9"/>
      <c r="L21" s="9"/>
      <c r="M21" s="9"/>
      <c r="N21" s="9"/>
      <c r="O21" s="9"/>
    </row>
    <row r="22" spans="2:15" ht="15" x14ac:dyDescent="0.25">
      <c r="B22" s="9">
        <v>18</v>
      </c>
      <c r="C22" s="39">
        <f>DATE(2026,6,12)</f>
        <v>46185</v>
      </c>
      <c r="D22" s="9" t="s">
        <v>124</v>
      </c>
      <c r="E22" s="9" t="s">
        <v>99</v>
      </c>
      <c r="F22" s="9" t="s">
        <v>40</v>
      </c>
      <c r="G22" s="9" t="s">
        <v>41</v>
      </c>
      <c r="H22" s="9" t="s">
        <v>100</v>
      </c>
      <c r="I22" s="9">
        <v>6</v>
      </c>
      <c r="J22" s="9" t="s">
        <v>98</v>
      </c>
      <c r="K22" s="9"/>
      <c r="L22" s="9"/>
      <c r="M22" s="9"/>
      <c r="N22" s="9"/>
      <c r="O22" s="9"/>
    </row>
    <row r="23" spans="2:15" ht="15" x14ac:dyDescent="0.25">
      <c r="B23" s="9">
        <v>19</v>
      </c>
      <c r="C23" s="39">
        <f>DATE(2026,6,12)</f>
        <v>46185</v>
      </c>
      <c r="D23" s="9" t="s">
        <v>125</v>
      </c>
      <c r="E23" s="9" t="s">
        <v>103</v>
      </c>
      <c r="F23" s="9" t="s">
        <v>34</v>
      </c>
      <c r="G23" s="9" t="s">
        <v>43</v>
      </c>
      <c r="H23" s="9" t="s">
        <v>97</v>
      </c>
      <c r="I23" s="9">
        <v>30</v>
      </c>
      <c r="J23" s="9" t="s">
        <v>101</v>
      </c>
      <c r="K23" s="9"/>
      <c r="L23" s="9"/>
      <c r="M23" s="9"/>
      <c r="N23" s="9"/>
      <c r="O23" s="9"/>
    </row>
    <row r="24" spans="2:15" ht="15" x14ac:dyDescent="0.25">
      <c r="B24" s="9">
        <v>20</v>
      </c>
      <c r="C24" s="39">
        <f>DATE(2026,6,15)</f>
        <v>46188</v>
      </c>
      <c r="D24" s="9" t="s">
        <v>126</v>
      </c>
      <c r="E24" s="9" t="s">
        <v>107</v>
      </c>
      <c r="F24" s="9" t="s">
        <v>34</v>
      </c>
      <c r="G24" s="9" t="s">
        <v>43</v>
      </c>
      <c r="H24" s="9" t="s">
        <v>97</v>
      </c>
      <c r="I24" s="9">
        <v>24</v>
      </c>
      <c r="J24" s="9" t="s">
        <v>101</v>
      </c>
      <c r="K24" s="9"/>
      <c r="L24" s="9"/>
      <c r="M24" s="9"/>
      <c r="N24" s="9"/>
      <c r="O24" s="9"/>
    </row>
    <row r="25" spans="2:15" ht="15" x14ac:dyDescent="0.25">
      <c r="B25" s="9">
        <v>21</v>
      </c>
      <c r="C25" s="39">
        <f>DATE(2026,6,16)</f>
        <v>46189</v>
      </c>
      <c r="D25" s="9" t="s">
        <v>127</v>
      </c>
      <c r="E25" s="9" t="s">
        <v>96</v>
      </c>
      <c r="F25" s="9" t="s">
        <v>34</v>
      </c>
      <c r="G25" s="9" t="s">
        <v>45</v>
      </c>
      <c r="H25" s="9" t="s">
        <v>97</v>
      </c>
      <c r="I25" s="9">
        <v>28</v>
      </c>
      <c r="J25" s="9" t="s">
        <v>101</v>
      </c>
      <c r="K25" s="9"/>
      <c r="L25" s="9"/>
      <c r="M25" s="9"/>
      <c r="N25" s="9"/>
      <c r="O25" s="9"/>
    </row>
    <row r="26" spans="2:15" ht="15" x14ac:dyDescent="0.25">
      <c r="B26" s="9">
        <v>22</v>
      </c>
      <c r="C26" s="39">
        <f>DATE(2026,6,17)</f>
        <v>46190</v>
      </c>
      <c r="D26" s="9" t="s">
        <v>128</v>
      </c>
      <c r="E26" s="9" t="s">
        <v>96</v>
      </c>
      <c r="F26" s="9" t="s">
        <v>34</v>
      </c>
      <c r="G26" s="9" t="s">
        <v>43</v>
      </c>
      <c r="H26" s="9" t="s">
        <v>97</v>
      </c>
      <c r="I26" s="9">
        <v>26</v>
      </c>
      <c r="J26" s="9" t="s">
        <v>101</v>
      </c>
      <c r="K26" s="9"/>
      <c r="L26" s="9"/>
      <c r="M26" s="9"/>
      <c r="N26" s="9"/>
      <c r="O26" s="9"/>
    </row>
    <row r="27" spans="2:15" ht="15" x14ac:dyDescent="0.25">
      <c r="B27" s="9">
        <v>23</v>
      </c>
      <c r="C27" s="39">
        <f>DATE(2026,6,18)</f>
        <v>46191</v>
      </c>
      <c r="D27" s="9" t="s">
        <v>129</v>
      </c>
      <c r="E27" s="9" t="s">
        <v>130</v>
      </c>
      <c r="F27" s="9" t="s">
        <v>34</v>
      </c>
      <c r="G27" s="9" t="s">
        <v>104</v>
      </c>
      <c r="H27" s="9" t="s">
        <v>97</v>
      </c>
      <c r="I27" s="9">
        <v>15</v>
      </c>
      <c r="J27" s="9" t="s">
        <v>98</v>
      </c>
      <c r="K27" s="9"/>
      <c r="L27" s="9"/>
      <c r="M27" s="9"/>
      <c r="N27" s="9"/>
      <c r="O27" s="9"/>
    </row>
    <row r="28" spans="2:15" ht="15" x14ac:dyDescent="0.25">
      <c r="B28" s="9">
        <v>24</v>
      </c>
      <c r="C28" s="39">
        <f>DATE(2026,6,19)</f>
        <v>46192</v>
      </c>
      <c r="D28" s="9" t="s">
        <v>131</v>
      </c>
      <c r="E28" s="9" t="s">
        <v>99</v>
      </c>
      <c r="F28" s="9" t="s">
        <v>40</v>
      </c>
      <c r="G28" s="9" t="s">
        <v>132</v>
      </c>
      <c r="H28" s="9" t="s">
        <v>100</v>
      </c>
      <c r="I28" s="9">
        <v>45</v>
      </c>
      <c r="J28" s="9" t="s">
        <v>101</v>
      </c>
      <c r="K28" s="9"/>
      <c r="L28" s="9"/>
      <c r="M28" s="9"/>
      <c r="N28" s="9"/>
      <c r="O28" s="9"/>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25114-EF63-4F27-8AAC-86D1CF7D9E5F}">
  <dimension ref="B2:N28"/>
  <sheetViews>
    <sheetView workbookViewId="0"/>
  </sheetViews>
  <sheetFormatPr defaultRowHeight="15" x14ac:dyDescent="0.25"/>
  <cols>
    <col min="1" max="1" width="2.625" customWidth="1"/>
    <col min="2" max="2" width="29.125" customWidth="1"/>
    <col min="3" max="4" width="15.875" customWidth="1"/>
    <col min="5" max="5" width="29.125" customWidth="1"/>
    <col min="6" max="6" width="15.875" customWidth="1"/>
    <col min="7" max="7" width="11.625" customWidth="1"/>
    <col min="8" max="8" width="15" customWidth="1"/>
  </cols>
  <sheetData>
    <row r="2" spans="2:14" x14ac:dyDescent="0.25">
      <c r="B2" s="41" t="s">
        <v>47</v>
      </c>
      <c r="C2" s="9"/>
      <c r="D2" s="9"/>
      <c r="E2" s="9"/>
      <c r="F2" s="9"/>
      <c r="G2" s="9"/>
      <c r="H2" s="9"/>
    </row>
    <row r="3" spans="2:14" x14ac:dyDescent="0.25">
      <c r="B3" s="9"/>
      <c r="C3" s="9"/>
      <c r="D3" s="9"/>
      <c r="E3" s="9"/>
      <c r="F3" s="9"/>
      <c r="G3" s="9"/>
      <c r="H3" s="9"/>
    </row>
    <row r="4" spans="2:14" x14ac:dyDescent="0.25">
      <c r="B4" s="20" t="s">
        <v>48</v>
      </c>
      <c r="C4" s="9"/>
      <c r="D4" s="9"/>
      <c r="E4" s="20" t="s">
        <v>152</v>
      </c>
      <c r="F4" s="9"/>
      <c r="G4" s="9"/>
      <c r="H4" s="9"/>
      <c r="J4" s="45" t="s">
        <v>159</v>
      </c>
    </row>
    <row r="5" spans="2:14" x14ac:dyDescent="0.25">
      <c r="B5" s="9" t="s">
        <v>49</v>
      </c>
      <c r="C5" s="20">
        <f>COUNTA(licensing_attempts[attempt_id])</f>
        <v>24</v>
      </c>
      <c r="D5" s="9"/>
      <c r="E5" s="10" t="s">
        <v>93</v>
      </c>
      <c r="F5" s="11" t="s">
        <v>153</v>
      </c>
      <c r="G5" s="11" t="s">
        <v>154</v>
      </c>
      <c r="H5" s="12" t="s">
        <v>155</v>
      </c>
      <c r="J5" s="46" t="s">
        <v>93</v>
      </c>
      <c r="K5" s="46" t="s">
        <v>155</v>
      </c>
      <c r="M5" s="46" t="s">
        <v>28</v>
      </c>
      <c r="N5" s="46" t="s">
        <v>160</v>
      </c>
    </row>
    <row r="6" spans="2:14" x14ac:dyDescent="0.25">
      <c r="B6" s="9" t="s">
        <v>50</v>
      </c>
      <c r="C6" s="20">
        <f>COUNTIF(licensing_attempts[result],"Failed")</f>
        <v>20</v>
      </c>
      <c r="D6" s="9"/>
      <c r="E6" s="13" t="s">
        <v>96</v>
      </c>
      <c r="F6" s="14">
        <f>COUNTIF(licensing_attempts[category],E6)</f>
        <v>7</v>
      </c>
      <c r="G6" s="14">
        <f>COUNTIFS(licensing_attempts[category],E6,licensing_attempts[result],"Failed")</f>
        <v>7</v>
      </c>
      <c r="H6" s="15">
        <f>SUMIF(licensing_attempts[category],E6,licensing_attempts[time_lost_min])</f>
        <v>129</v>
      </c>
      <c r="J6" t="str">
        <f>E6</f>
        <v>Analytics</v>
      </c>
      <c r="K6">
        <f>H6</f>
        <v>129</v>
      </c>
      <c r="M6" t="str">
        <f>INDEX(frustration_scores[step],1)</f>
        <v>Initial PPU attempt</v>
      </c>
      <c r="N6">
        <f>INDEX(frustration_scores[frustration_score],1)</f>
        <v>3</v>
      </c>
    </row>
    <row r="7" spans="2:14" x14ac:dyDescent="0.25">
      <c r="B7" s="9" t="s">
        <v>51</v>
      </c>
      <c r="C7" s="20">
        <f>COUNTIF(licensing_attempts[result],"Success")</f>
        <v>4</v>
      </c>
      <c r="D7" s="9"/>
      <c r="E7" s="13" t="s">
        <v>103</v>
      </c>
      <c r="F7" s="14">
        <f>COUNTIF(licensing_attempts[category],E7)</f>
        <v>3</v>
      </c>
      <c r="G7" s="14">
        <f>COUNTIFS(licensing_attempts[category],E7,licensing_attempts[result],"Failed")</f>
        <v>3</v>
      </c>
      <c r="H7" s="15">
        <f>SUMIF(licensing_attempts[category],E7,licensing_attempts[time_lost_min])</f>
        <v>73</v>
      </c>
      <c r="J7" t="str">
        <f t="shared" ref="J7:J13" si="0">E7</f>
        <v>AI</v>
      </c>
      <c r="K7">
        <f t="shared" ref="K7:K13" si="1">H7</f>
        <v>73</v>
      </c>
      <c r="M7" t="str">
        <f>INDEX(frustration_scores[step],2)</f>
        <v>“Not eligible” error</v>
      </c>
      <c r="N7">
        <f>INDEX(frustration_scores[frustration_score],2)</f>
        <v>4</v>
      </c>
    </row>
    <row r="8" spans="2:14" x14ac:dyDescent="0.25">
      <c r="B8" s="9" t="s">
        <v>52</v>
      </c>
      <c r="C8" s="21">
        <f>C7/C5</f>
        <v>0.16666666666666666</v>
      </c>
      <c r="D8" s="9"/>
      <c r="E8" s="13" t="s">
        <v>107</v>
      </c>
      <c r="F8" s="14">
        <f>COUNTIF(licensing_attempts[category],E8)</f>
        <v>3</v>
      </c>
      <c r="G8" s="14">
        <f>COUNTIFS(licensing_attempts[category],E8,licensing_attempts[result],"Failed")</f>
        <v>3</v>
      </c>
      <c r="H8" s="15">
        <f>SUMIF(licensing_attempts[category],E8,licensing_attempts[time_lost_min])</f>
        <v>50</v>
      </c>
      <c r="J8" t="str">
        <f t="shared" si="0"/>
        <v>Collaboration</v>
      </c>
      <c r="K8">
        <f t="shared" si="1"/>
        <v>50</v>
      </c>
      <c r="M8" t="str">
        <f>INDEX(frustration_scores[step],3)</f>
        <v>Missing Purchase Services</v>
      </c>
      <c r="N8">
        <f>INDEX(frustration_scores[frustration_score],3)</f>
        <v>6</v>
      </c>
    </row>
    <row r="9" spans="2:14" x14ac:dyDescent="0.25">
      <c r="B9" s="9" t="s">
        <v>53</v>
      </c>
      <c r="C9" s="20">
        <f>SUMIF(licensing_attempts[result],"Failed",licensing_attempts[time_lost_min])</f>
        <v>331</v>
      </c>
      <c r="D9" s="9"/>
      <c r="E9" s="13" t="s">
        <v>113</v>
      </c>
      <c r="F9" s="14">
        <f>COUNTIF(licensing_attempts[category],E9)</f>
        <v>2</v>
      </c>
      <c r="G9" s="14">
        <f>COUNTIFS(licensing_attempts[category],E9,licensing_attempts[result],"Failed")</f>
        <v>2</v>
      </c>
      <c r="H9" s="15">
        <f>SUMIF(licensing_attempts[category],E9,licensing_attempts[time_lost_min])</f>
        <v>27</v>
      </c>
      <c r="J9" t="str">
        <f t="shared" si="0"/>
        <v>Automation</v>
      </c>
      <c r="K9">
        <f t="shared" si="1"/>
        <v>27</v>
      </c>
      <c r="M9" t="str">
        <f>INDEX(frustration_scores[step],4)</f>
        <v>Tried Power BI Pro</v>
      </c>
      <c r="N9">
        <f>INDEX(frustration_scores[frustration_score],4)</f>
        <v>5</v>
      </c>
    </row>
    <row r="10" spans="2:14" x14ac:dyDescent="0.25">
      <c r="B10" s="9" t="s">
        <v>54</v>
      </c>
      <c r="C10" s="20">
        <f>SUM(licensing_attempts[time_lost_min])</f>
        <v>393</v>
      </c>
      <c r="D10" s="9"/>
      <c r="E10" s="13" t="s">
        <v>117</v>
      </c>
      <c r="F10" s="14">
        <f>COUNTIF(licensing_attempts[category],E10)</f>
        <v>2</v>
      </c>
      <c r="G10" s="14">
        <f>COUNTIFS(licensing_attempts[category],E10,licensing_attempts[result],"Failed")</f>
        <v>2</v>
      </c>
      <c r="H10" s="15">
        <f>SUMIF(licensing_attempts[category],E10,licensing_attempts[time_lost_min])</f>
        <v>22</v>
      </c>
      <c r="J10" t="str">
        <f t="shared" si="0"/>
        <v>Security</v>
      </c>
      <c r="K10">
        <f t="shared" si="1"/>
        <v>22</v>
      </c>
      <c r="M10" t="str">
        <f>INDEX(frustration_scores[step],5)</f>
        <v>Conflicting documentation</v>
      </c>
      <c r="N10">
        <f>INDEX(frustration_scores[frustration_score],5)</f>
        <v>7</v>
      </c>
    </row>
    <row r="11" spans="2:14" x14ac:dyDescent="0.25">
      <c r="B11" s="9" t="s">
        <v>148</v>
      </c>
      <c r="C11" s="22">
        <f>C10/60</f>
        <v>6.55</v>
      </c>
      <c r="D11" s="9"/>
      <c r="E11" s="13" t="s">
        <v>121</v>
      </c>
      <c r="F11" s="14">
        <f>COUNTIF(licensing_attempts[category],E11)</f>
        <v>2</v>
      </c>
      <c r="G11" s="14">
        <f>COUNTIFS(licensing_attempts[category],E11,licensing_attempts[result],"Failed")</f>
        <v>2</v>
      </c>
      <c r="H11" s="15">
        <f>SUMIF(licensing_attempts[category],E11,licensing_attempts[time_lost_min])</f>
        <v>15</v>
      </c>
      <c r="J11" t="str">
        <f t="shared" si="0"/>
        <v>Apps</v>
      </c>
      <c r="K11">
        <f t="shared" si="1"/>
        <v>15</v>
      </c>
      <c r="M11" t="str">
        <f>INDEX(frustration_scores[step],6)</f>
        <v>Checked region &amp; self-service</v>
      </c>
      <c r="N11">
        <f>INDEX(frustration_scores[frustration_score],6)</f>
        <v>6</v>
      </c>
    </row>
    <row r="12" spans="2:14" x14ac:dyDescent="0.25">
      <c r="B12" s="9" t="s">
        <v>149</v>
      </c>
      <c r="C12" s="22">
        <f>AVERAGEIF(licensing_attempts[result],"Failed",licensing_attempts[time_lost_min])</f>
        <v>16.55</v>
      </c>
      <c r="D12" s="9"/>
      <c r="E12" s="13" t="s">
        <v>130</v>
      </c>
      <c r="F12" s="14">
        <f>COUNTIF(licensing_attempts[category],E12)</f>
        <v>1</v>
      </c>
      <c r="G12" s="14">
        <f>COUNTIFS(licensing_attempts[category],E12,licensing_attempts[result],"Failed")</f>
        <v>1</v>
      </c>
      <c r="H12" s="15">
        <f>SUMIF(licensing_attempts[category],E12,licensing_attempts[time_lost_min])</f>
        <v>15</v>
      </c>
      <c r="J12" t="str">
        <f t="shared" si="0"/>
        <v>CRM</v>
      </c>
      <c r="K12">
        <f t="shared" si="1"/>
        <v>15</v>
      </c>
      <c r="M12" t="str">
        <f>INDEX(frustration_scores[step],7)</f>
        <v>Discovered MCA billing</v>
      </c>
      <c r="N12">
        <f>INDEX(frustration_scores[frustration_score],7)</f>
        <v>8</v>
      </c>
    </row>
    <row r="13" spans="2:14" x14ac:dyDescent="0.25">
      <c r="B13" s="9" t="s">
        <v>150</v>
      </c>
      <c r="C13" s="20">
        <f>COUNTIF(licensing_attempts[support_contacted],"Yes")</f>
        <v>7</v>
      </c>
      <c r="D13" s="9"/>
      <c r="E13" s="13" t="s">
        <v>99</v>
      </c>
      <c r="F13" s="14">
        <f>COUNTIF(licensing_attempts[category],E13)</f>
        <v>4</v>
      </c>
      <c r="G13" s="14">
        <f>COUNTIFS(licensing_attempts[category],E13,licensing_attempts[result],"Failed")</f>
        <v>0</v>
      </c>
      <c r="H13" s="15">
        <f>SUMIF(licensing_attempts[category],E13,licensing_attempts[time_lost_min])</f>
        <v>62</v>
      </c>
      <c r="J13" t="str">
        <f t="shared" si="0"/>
        <v>Core M365</v>
      </c>
      <c r="K13">
        <f t="shared" si="1"/>
        <v>62</v>
      </c>
      <c r="M13" t="str">
        <f>INDEX(frustration_scores[step],8)</f>
        <v>Copilot also blocked</v>
      </c>
      <c r="N13">
        <f>INDEX(frustration_scores[frustration_score],8)</f>
        <v>9</v>
      </c>
    </row>
    <row r="14" spans="2:14" x14ac:dyDescent="0.25">
      <c r="B14" s="9" t="s">
        <v>151</v>
      </c>
      <c r="C14" s="21">
        <f>COUNTIF(licensing_attempts[billing_account],"MCA")/C5</f>
        <v>0.83333333333333337</v>
      </c>
      <c r="D14" s="9"/>
      <c r="E14" s="42" t="s">
        <v>58</v>
      </c>
      <c r="F14" s="43">
        <f>SUM(F6:F13)</f>
        <v>24</v>
      </c>
      <c r="G14" s="43">
        <f>SUM(G6:G13)</f>
        <v>20</v>
      </c>
      <c r="H14" s="44">
        <f>SUM(H6:H13)</f>
        <v>393</v>
      </c>
      <c r="M14" t="str">
        <f>INDEX(frustration_scores[step],9)</f>
        <v>Teams Premium blocked</v>
      </c>
      <c r="N14">
        <f>INDEX(frustration_scores[frustration_score],9)</f>
        <v>8</v>
      </c>
    </row>
    <row r="15" spans="2:14" x14ac:dyDescent="0.25">
      <c r="B15" s="9" t="s">
        <v>55</v>
      </c>
      <c r="C15" s="22">
        <f>AVERAGE(frustration_scores[frustration_score])</f>
        <v>6.833333333333333</v>
      </c>
      <c r="D15" s="9"/>
      <c r="E15" s="9"/>
      <c r="F15" s="9"/>
      <c r="G15" s="9"/>
      <c r="H15" s="9"/>
      <c r="M15" t="str">
        <f>INDEX(frustration_scores[step],10)</f>
        <v>MCA billing block confirmed</v>
      </c>
      <c r="N15">
        <f>INDEX(frustration_scores[frustration_score],10)</f>
        <v>9</v>
      </c>
    </row>
    <row r="16" spans="2:14" x14ac:dyDescent="0.25">
      <c r="B16" s="9" t="s">
        <v>56</v>
      </c>
      <c r="C16" s="20">
        <f>MAX(frustration_scores[frustration_score])</f>
        <v>10</v>
      </c>
      <c r="D16" s="9"/>
      <c r="E16" s="9"/>
      <c r="F16" s="9"/>
      <c r="G16" s="9"/>
      <c r="H16" s="9"/>
      <c r="M16" t="str">
        <f>INDEX(frustration_scores[step],11)</f>
        <v>Decision to contact support</v>
      </c>
      <c r="N16">
        <f>INDEX(frustration_scores[frustration_score],11)</f>
        <v>10</v>
      </c>
    </row>
    <row r="17" spans="2:14" x14ac:dyDescent="0.25">
      <c r="B17" s="9"/>
      <c r="C17" s="9"/>
      <c r="D17" s="9"/>
      <c r="E17" s="20" t="s">
        <v>156</v>
      </c>
      <c r="F17" s="9"/>
      <c r="G17" s="9"/>
      <c r="H17" s="9"/>
      <c r="M17" t="str">
        <f>INDEX(frustration_scores[step],12)</f>
        <v>Awaiting billing conversion</v>
      </c>
      <c r="N17">
        <f>INDEX(frustration_scores[frustration_score],12)</f>
        <v>7</v>
      </c>
    </row>
    <row r="18" spans="2:14" x14ac:dyDescent="0.25">
      <c r="B18" s="9"/>
      <c r="C18" s="9"/>
      <c r="D18" s="9"/>
      <c r="E18" s="10" t="s">
        <v>23</v>
      </c>
      <c r="F18" s="12" t="s">
        <v>57</v>
      </c>
      <c r="G18" s="9"/>
      <c r="H18" s="9"/>
    </row>
    <row r="19" spans="2:14" x14ac:dyDescent="0.25">
      <c r="B19" s="20" t="s">
        <v>157</v>
      </c>
      <c r="C19" s="9"/>
      <c r="D19" s="9"/>
      <c r="E19" s="13" t="s">
        <v>43</v>
      </c>
      <c r="F19" s="15">
        <f>COUNTIF(licensing_attempts[error_message],E19)</f>
        <v>6</v>
      </c>
      <c r="G19" s="9"/>
      <c r="H19" s="9"/>
    </row>
    <row r="20" spans="2:14" x14ac:dyDescent="0.25">
      <c r="B20" s="10" t="s">
        <v>94</v>
      </c>
      <c r="C20" s="11" t="s">
        <v>153</v>
      </c>
      <c r="D20" s="12" t="s">
        <v>155</v>
      </c>
      <c r="E20" s="13" t="s">
        <v>35</v>
      </c>
      <c r="F20" s="15">
        <f>COUNTIF(licensing_attempts[error_message],E20)</f>
        <v>4</v>
      </c>
      <c r="G20" s="9"/>
      <c r="H20" s="9"/>
    </row>
    <row r="21" spans="2:14" x14ac:dyDescent="0.25">
      <c r="B21" s="13" t="s">
        <v>97</v>
      </c>
      <c r="C21" s="14">
        <f>COUNTIF(licensing_attempts[billing_account],B21)</f>
        <v>20</v>
      </c>
      <c r="D21" s="15">
        <f>SUMIF(licensing_attempts[billing_account],B21,licensing_attempts[time_lost_min])</f>
        <v>331</v>
      </c>
      <c r="E21" s="13" t="s">
        <v>104</v>
      </c>
      <c r="F21" s="15">
        <f>COUNTIF(licensing_attempts[error_message],E21)</f>
        <v>3</v>
      </c>
      <c r="G21" s="9"/>
      <c r="H21" s="9"/>
    </row>
    <row r="22" spans="2:14" x14ac:dyDescent="0.25">
      <c r="B22" s="16" t="s">
        <v>100</v>
      </c>
      <c r="C22" s="17">
        <f>COUNTIF(licensing_attempts[billing_account],B22)</f>
        <v>4</v>
      </c>
      <c r="D22" s="18">
        <f>SUMIF(licensing_attempts[billing_account],B22,licensing_attempts[time_lost_min])</f>
        <v>62</v>
      </c>
      <c r="E22" s="13" t="s">
        <v>122</v>
      </c>
      <c r="F22" s="15">
        <f>COUNTIF(licensing_attempts[error_message],E22)</f>
        <v>2</v>
      </c>
      <c r="G22" s="9"/>
      <c r="H22" s="9"/>
    </row>
    <row r="23" spans="2:14" x14ac:dyDescent="0.25">
      <c r="B23" s="9"/>
      <c r="C23" s="9"/>
      <c r="D23" s="9"/>
      <c r="E23" s="13" t="s">
        <v>38</v>
      </c>
      <c r="F23" s="15">
        <f>COUNTIF(licensing_attempts[error_message],E23)</f>
        <v>1</v>
      </c>
      <c r="G23" s="9"/>
      <c r="H23" s="9"/>
    </row>
    <row r="24" spans="2:14" x14ac:dyDescent="0.25">
      <c r="B24" s="20" t="s">
        <v>158</v>
      </c>
      <c r="C24" s="9"/>
      <c r="D24" s="9"/>
      <c r="E24" s="13" t="s">
        <v>108</v>
      </c>
      <c r="F24" s="15">
        <f>COUNTIF(licensing_attempts[error_message],E24)</f>
        <v>1</v>
      </c>
      <c r="G24" s="9"/>
      <c r="H24" s="9"/>
    </row>
    <row r="25" spans="2:14" x14ac:dyDescent="0.25">
      <c r="B25" s="10" t="s">
        <v>21</v>
      </c>
      <c r="C25" s="12" t="s">
        <v>153</v>
      </c>
      <c r="D25" s="9"/>
      <c r="E25" s="13" t="s">
        <v>111</v>
      </c>
      <c r="F25" s="15">
        <f>COUNTIF(licensing_attempts[error_message],E25)</f>
        <v>1</v>
      </c>
      <c r="G25" s="9"/>
      <c r="H25" s="9"/>
    </row>
    <row r="26" spans="2:14" x14ac:dyDescent="0.25">
      <c r="B26" s="13" t="s">
        <v>34</v>
      </c>
      <c r="C26" s="15">
        <f>COUNTIF(licensing_attempts[result],B26)</f>
        <v>20</v>
      </c>
      <c r="D26" s="9"/>
      <c r="E26" s="13" t="s">
        <v>118</v>
      </c>
      <c r="F26" s="15">
        <f>COUNTIF(licensing_attempts[error_message],E26)</f>
        <v>1</v>
      </c>
      <c r="G26" s="9"/>
      <c r="H26" s="9"/>
    </row>
    <row r="27" spans="2:14" x14ac:dyDescent="0.25">
      <c r="B27" s="16" t="s">
        <v>40</v>
      </c>
      <c r="C27" s="18">
        <f>COUNTIF(licensing_attempts[result],B27)</f>
        <v>4</v>
      </c>
      <c r="D27" s="9"/>
      <c r="E27" s="13" t="s">
        <v>41</v>
      </c>
      <c r="F27" s="15">
        <f>COUNTIF(licensing_attempts[error_message],E27)</f>
        <v>3</v>
      </c>
      <c r="G27" s="9"/>
      <c r="H27" s="9"/>
    </row>
    <row r="28" spans="2:14" x14ac:dyDescent="0.25">
      <c r="B28" s="9"/>
      <c r="C28" s="9"/>
      <c r="D28" s="9"/>
      <c r="E28" s="16" t="s">
        <v>132</v>
      </c>
      <c r="F28" s="18">
        <f>COUNTIF(licensing_attempts[error_message],E28)</f>
        <v>1</v>
      </c>
      <c r="G28" s="9"/>
      <c r="H28"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DC804-21E0-45AE-A541-CF25D2E45EBB}">
  <dimension ref="A1:P60"/>
  <sheetViews>
    <sheetView showGridLines="0" workbookViewId="0">
      <selection activeCell="N2" sqref="N2"/>
    </sheetView>
  </sheetViews>
  <sheetFormatPr defaultRowHeight="15" x14ac:dyDescent="0.25"/>
  <cols>
    <col min="1" max="1" width="2.625" customWidth="1"/>
    <col min="2" max="13" width="12.375" customWidth="1"/>
  </cols>
  <sheetData>
    <row r="1" spans="1:16" x14ac:dyDescent="0.25">
      <c r="A1" s="23"/>
      <c r="B1" s="23"/>
      <c r="C1" s="23"/>
      <c r="D1" s="23"/>
      <c r="E1" s="23"/>
      <c r="F1" s="23"/>
      <c r="G1" s="23"/>
      <c r="H1" s="23"/>
      <c r="I1" s="23"/>
      <c r="J1" s="23"/>
      <c r="K1" s="23"/>
      <c r="L1" s="23"/>
      <c r="M1" s="23"/>
      <c r="N1" s="23"/>
      <c r="O1" s="23"/>
      <c r="P1" s="23"/>
    </row>
    <row r="2" spans="1:16" ht="44.1" customHeight="1" x14ac:dyDescent="0.25">
      <c r="A2" s="23"/>
      <c r="B2" s="72" t="s">
        <v>59</v>
      </c>
      <c r="C2" s="72"/>
      <c r="D2" s="72"/>
      <c r="E2" s="72"/>
      <c r="F2" s="72"/>
      <c r="G2" s="72"/>
      <c r="H2" s="72"/>
      <c r="I2" s="72"/>
      <c r="J2" s="72"/>
      <c r="K2" s="72"/>
      <c r="L2" s="72"/>
      <c r="M2" s="72"/>
      <c r="N2" s="23"/>
      <c r="O2" s="23"/>
      <c r="P2" s="23"/>
    </row>
    <row r="3" spans="1:16" ht="5.0999999999999996" customHeight="1" x14ac:dyDescent="0.25">
      <c r="A3" s="23"/>
      <c r="B3" s="24"/>
      <c r="C3" s="24"/>
      <c r="D3" s="25"/>
      <c r="E3" s="25"/>
      <c r="F3" s="26"/>
      <c r="G3" s="26"/>
      <c r="H3" s="27"/>
      <c r="I3" s="27"/>
      <c r="J3" s="28"/>
      <c r="K3" s="28"/>
      <c r="L3" s="1"/>
      <c r="M3" s="1"/>
      <c r="N3" s="23"/>
      <c r="O3" s="23"/>
      <c r="P3" s="23"/>
    </row>
    <row r="4" spans="1:16" x14ac:dyDescent="0.25">
      <c r="A4" s="23"/>
      <c r="B4" s="29" t="s">
        <v>60</v>
      </c>
      <c r="C4" s="30"/>
      <c r="D4" s="29" t="s">
        <v>34</v>
      </c>
      <c r="E4" s="30"/>
      <c r="F4" s="29" t="s">
        <v>161</v>
      </c>
      <c r="G4" s="30"/>
      <c r="H4" s="29" t="s">
        <v>162</v>
      </c>
      <c r="I4" s="30"/>
      <c r="J4" s="29" t="s">
        <v>163</v>
      </c>
      <c r="K4" s="30"/>
      <c r="L4" s="29" t="s">
        <v>62</v>
      </c>
      <c r="M4" s="31"/>
      <c r="N4" s="23"/>
      <c r="O4" s="23"/>
      <c r="P4" s="23"/>
    </row>
    <row r="5" spans="1:16" ht="38.25" x14ac:dyDescent="0.65">
      <c r="A5" s="23"/>
      <c r="B5" s="47">
        <f>Analysis!C5</f>
        <v>24</v>
      </c>
      <c r="C5" s="32"/>
      <c r="D5" s="48">
        <f>Analysis!C6</f>
        <v>20</v>
      </c>
      <c r="E5" s="32"/>
      <c r="F5" s="49">
        <f>Analysis!C11</f>
        <v>6.55</v>
      </c>
      <c r="G5" s="32"/>
      <c r="H5" s="50">
        <f>Analysis!C14</f>
        <v>0.83333333333333337</v>
      </c>
      <c r="I5" s="32"/>
      <c r="J5" s="51">
        <f>Analysis!C13</f>
        <v>7</v>
      </c>
      <c r="K5" s="32"/>
      <c r="L5" s="52">
        <f>Analysis!C15</f>
        <v>6.833333333333333</v>
      </c>
      <c r="M5" s="33"/>
      <c r="N5" s="23"/>
      <c r="O5" s="23"/>
      <c r="P5" s="23"/>
    </row>
    <row r="6" spans="1:16" x14ac:dyDescent="0.25">
      <c r="A6" s="23"/>
      <c r="B6" s="23"/>
      <c r="C6" s="23"/>
      <c r="D6" s="23"/>
      <c r="E6" s="23"/>
      <c r="F6" s="23"/>
      <c r="G6" s="23"/>
      <c r="H6" s="23"/>
      <c r="I6" s="23"/>
      <c r="J6" s="23"/>
      <c r="K6" s="23"/>
      <c r="L6" s="23"/>
      <c r="M6" s="23"/>
      <c r="N6" s="23"/>
      <c r="O6" s="23"/>
      <c r="P6" s="23"/>
    </row>
    <row r="7" spans="1:16" x14ac:dyDescent="0.25">
      <c r="A7" s="23"/>
      <c r="B7" s="23"/>
      <c r="C7" s="23"/>
      <c r="D7" s="23"/>
      <c r="E7" s="23"/>
      <c r="F7" s="23"/>
      <c r="G7" s="23"/>
      <c r="H7" s="23"/>
      <c r="I7" s="23"/>
      <c r="J7" s="23"/>
      <c r="K7" s="23"/>
      <c r="L7" s="23"/>
      <c r="M7" s="23"/>
      <c r="N7" s="23"/>
      <c r="O7" s="23"/>
      <c r="P7" s="23"/>
    </row>
    <row r="8" spans="1:16" x14ac:dyDescent="0.25">
      <c r="A8" s="23"/>
      <c r="B8" s="23"/>
      <c r="C8" s="23"/>
      <c r="D8" s="23"/>
      <c r="E8" s="23"/>
      <c r="F8" s="23"/>
      <c r="G8" s="23"/>
      <c r="H8" s="23"/>
      <c r="I8" s="23"/>
      <c r="J8" s="23"/>
      <c r="K8" s="23"/>
      <c r="L8" s="23"/>
      <c r="M8" s="23"/>
      <c r="N8" s="23"/>
      <c r="O8" s="23"/>
      <c r="P8" s="23"/>
    </row>
    <row r="9" spans="1:16" x14ac:dyDescent="0.25">
      <c r="A9" s="23"/>
      <c r="B9" s="23"/>
      <c r="C9" s="23"/>
      <c r="D9" s="23"/>
      <c r="E9" s="23"/>
      <c r="F9" s="23"/>
      <c r="G9" s="23"/>
      <c r="H9" s="23"/>
      <c r="I9" s="23"/>
      <c r="J9" s="23"/>
      <c r="K9" s="23"/>
      <c r="L9" s="23"/>
      <c r="M9" s="23"/>
      <c r="N9" s="23"/>
      <c r="O9" s="23"/>
      <c r="P9" s="23"/>
    </row>
    <row r="10" spans="1:16" x14ac:dyDescent="0.25">
      <c r="A10" s="23"/>
      <c r="B10" s="23"/>
      <c r="C10" s="23"/>
      <c r="D10" s="23"/>
      <c r="E10" s="23"/>
      <c r="F10" s="23"/>
      <c r="G10" s="23"/>
      <c r="H10" s="23"/>
      <c r="I10" s="23"/>
      <c r="J10" s="23"/>
      <c r="K10" s="23"/>
      <c r="L10" s="23"/>
      <c r="M10" s="23"/>
      <c r="N10" s="23"/>
      <c r="O10" s="23"/>
      <c r="P10" s="23"/>
    </row>
    <row r="11" spans="1:16" x14ac:dyDescent="0.25">
      <c r="A11" s="23"/>
      <c r="B11" s="23"/>
      <c r="C11" s="23"/>
      <c r="D11" s="23"/>
      <c r="E11" s="23"/>
      <c r="F11" s="23"/>
      <c r="G11" s="23"/>
      <c r="H11" s="23"/>
      <c r="I11" s="23"/>
      <c r="J11" s="23"/>
      <c r="K11" s="23"/>
      <c r="L11" s="23"/>
      <c r="M11" s="23"/>
      <c r="N11" s="23"/>
      <c r="O11" s="23"/>
      <c r="P11" s="23"/>
    </row>
    <row r="12" spans="1:16" x14ac:dyDescent="0.25">
      <c r="A12" s="23"/>
      <c r="B12" s="23"/>
      <c r="C12" s="23"/>
      <c r="D12" s="23"/>
      <c r="E12" s="23"/>
      <c r="F12" s="23"/>
      <c r="G12" s="23"/>
      <c r="H12" s="23"/>
      <c r="I12" s="23"/>
      <c r="J12" s="23"/>
      <c r="K12" s="23"/>
      <c r="L12" s="23"/>
      <c r="M12" s="23"/>
      <c r="N12" s="23"/>
      <c r="O12" s="23"/>
      <c r="P12" s="23"/>
    </row>
    <row r="13" spans="1:16" x14ac:dyDescent="0.25">
      <c r="A13" s="23"/>
      <c r="B13" s="23"/>
      <c r="C13" s="23"/>
      <c r="D13" s="23"/>
      <c r="E13" s="23"/>
      <c r="F13" s="23"/>
      <c r="G13" s="23"/>
      <c r="H13" s="23"/>
      <c r="I13" s="23"/>
      <c r="J13" s="23"/>
      <c r="K13" s="23"/>
      <c r="L13" s="23"/>
      <c r="M13" s="23"/>
      <c r="N13" s="23"/>
      <c r="O13" s="23"/>
      <c r="P13" s="23"/>
    </row>
    <row r="14" spans="1:16" x14ac:dyDescent="0.25">
      <c r="A14" s="23"/>
      <c r="B14" s="23"/>
      <c r="C14" s="23"/>
      <c r="D14" s="23"/>
      <c r="E14" s="23"/>
      <c r="F14" s="23"/>
      <c r="G14" s="23"/>
      <c r="H14" s="23"/>
      <c r="I14" s="23"/>
      <c r="J14" s="23"/>
      <c r="K14" s="23"/>
      <c r="L14" s="23"/>
      <c r="M14" s="23"/>
      <c r="N14" s="23"/>
      <c r="O14" s="23"/>
      <c r="P14" s="23"/>
    </row>
    <row r="15" spans="1:16" x14ac:dyDescent="0.25">
      <c r="A15" s="23"/>
      <c r="B15" s="23"/>
      <c r="C15" s="23"/>
      <c r="D15" s="23"/>
      <c r="E15" s="23"/>
      <c r="F15" s="23"/>
      <c r="G15" s="23"/>
      <c r="H15" s="23"/>
      <c r="I15" s="23"/>
      <c r="J15" s="23"/>
      <c r="K15" s="23"/>
      <c r="L15" s="23"/>
      <c r="M15" s="23"/>
      <c r="N15" s="23"/>
      <c r="O15" s="23"/>
      <c r="P15" s="23"/>
    </row>
    <row r="16" spans="1:16" x14ac:dyDescent="0.25">
      <c r="A16" s="23"/>
      <c r="B16" s="23"/>
      <c r="C16" s="23"/>
      <c r="D16" s="23"/>
      <c r="E16" s="23"/>
      <c r="F16" s="23"/>
      <c r="G16" s="23"/>
      <c r="H16" s="23"/>
      <c r="I16" s="23"/>
      <c r="J16" s="23"/>
      <c r="K16" s="23"/>
      <c r="L16" s="23"/>
      <c r="M16" s="23"/>
      <c r="N16" s="23"/>
      <c r="O16" s="23"/>
      <c r="P16" s="23"/>
    </row>
    <row r="17" spans="1:16" x14ac:dyDescent="0.25">
      <c r="A17" s="23"/>
      <c r="B17" s="23"/>
      <c r="C17" s="23"/>
      <c r="D17" s="23"/>
      <c r="E17" s="23"/>
      <c r="F17" s="23"/>
      <c r="G17" s="23"/>
      <c r="H17" s="23"/>
      <c r="I17" s="23"/>
      <c r="J17" s="23"/>
      <c r="K17" s="23"/>
      <c r="L17" s="23"/>
      <c r="M17" s="23"/>
      <c r="N17" s="23"/>
      <c r="O17" s="23"/>
      <c r="P17" s="23"/>
    </row>
    <row r="18" spans="1:16" x14ac:dyDescent="0.25">
      <c r="A18" s="23"/>
      <c r="B18" s="23"/>
      <c r="C18" s="23"/>
      <c r="D18" s="23"/>
      <c r="E18" s="23"/>
      <c r="F18" s="23"/>
      <c r="G18" s="23"/>
      <c r="H18" s="23"/>
      <c r="I18" s="23"/>
      <c r="J18" s="23"/>
      <c r="K18" s="23"/>
      <c r="L18" s="23"/>
      <c r="M18" s="23"/>
      <c r="N18" s="23"/>
      <c r="O18" s="23"/>
      <c r="P18" s="23"/>
    </row>
    <row r="19" spans="1:16" x14ac:dyDescent="0.25">
      <c r="A19" s="23"/>
      <c r="B19" s="23"/>
      <c r="C19" s="23"/>
      <c r="D19" s="23"/>
      <c r="E19" s="23"/>
      <c r="F19" s="23"/>
      <c r="G19" s="23"/>
      <c r="H19" s="23"/>
      <c r="I19" s="23"/>
      <c r="J19" s="23"/>
      <c r="K19" s="23"/>
      <c r="L19" s="23"/>
      <c r="M19" s="23"/>
      <c r="N19" s="23"/>
      <c r="O19" s="23"/>
      <c r="P19" s="23"/>
    </row>
    <row r="20" spans="1:16" x14ac:dyDescent="0.25">
      <c r="A20" s="23"/>
      <c r="B20" s="23"/>
      <c r="C20" s="23"/>
      <c r="D20" s="23"/>
      <c r="E20" s="23"/>
      <c r="F20" s="23"/>
      <c r="G20" s="23"/>
      <c r="H20" s="23"/>
      <c r="I20" s="23"/>
      <c r="J20" s="23"/>
      <c r="K20" s="23"/>
      <c r="L20" s="23"/>
      <c r="M20" s="23"/>
      <c r="N20" s="23"/>
      <c r="O20" s="23"/>
      <c r="P20" s="23"/>
    </row>
    <row r="21" spans="1:16" x14ac:dyDescent="0.25">
      <c r="A21" s="23"/>
      <c r="B21" s="23"/>
      <c r="C21" s="23"/>
      <c r="D21" s="23"/>
      <c r="E21" s="23"/>
      <c r="F21" s="23"/>
      <c r="G21" s="23"/>
      <c r="H21" s="23"/>
      <c r="I21" s="23"/>
      <c r="J21" s="23"/>
      <c r="K21" s="23"/>
      <c r="L21" s="23"/>
      <c r="M21" s="23"/>
      <c r="N21" s="23"/>
      <c r="O21" s="23"/>
      <c r="P21" s="23"/>
    </row>
    <row r="22" spans="1:16" x14ac:dyDescent="0.25">
      <c r="A22" s="23"/>
      <c r="B22" s="23"/>
      <c r="C22" s="23"/>
      <c r="D22" s="23"/>
      <c r="E22" s="23"/>
      <c r="F22" s="23"/>
      <c r="G22" s="23"/>
      <c r="H22" s="23"/>
      <c r="I22" s="23"/>
      <c r="J22" s="23"/>
      <c r="K22" s="23"/>
      <c r="L22" s="23"/>
      <c r="M22" s="23"/>
      <c r="N22" s="23"/>
      <c r="O22" s="23"/>
      <c r="P22" s="23"/>
    </row>
    <row r="23" spans="1:16" x14ac:dyDescent="0.25">
      <c r="A23" s="23"/>
      <c r="B23" s="23"/>
      <c r="C23" s="23"/>
      <c r="D23" s="23"/>
      <c r="E23" s="23"/>
      <c r="F23" s="23"/>
      <c r="G23" s="23"/>
      <c r="H23" s="23"/>
      <c r="I23" s="23"/>
      <c r="J23" s="23"/>
      <c r="K23" s="23"/>
      <c r="L23" s="23"/>
      <c r="M23" s="23"/>
      <c r="N23" s="23"/>
      <c r="O23" s="23"/>
      <c r="P23" s="23"/>
    </row>
    <row r="24" spans="1:16" x14ac:dyDescent="0.25">
      <c r="A24" s="23"/>
      <c r="B24" s="23"/>
      <c r="C24" s="23"/>
      <c r="D24" s="23"/>
      <c r="E24" s="23"/>
      <c r="F24" s="23"/>
      <c r="G24" s="23"/>
      <c r="H24" s="23"/>
      <c r="I24" s="23"/>
      <c r="J24" s="23"/>
      <c r="K24" s="23"/>
      <c r="L24" s="23"/>
      <c r="M24" s="23"/>
      <c r="N24" s="23"/>
      <c r="O24" s="23"/>
      <c r="P24" s="23"/>
    </row>
    <row r="25" spans="1:16" x14ac:dyDescent="0.25">
      <c r="A25" s="23"/>
      <c r="B25" s="23"/>
      <c r="C25" s="23"/>
      <c r="D25" s="23"/>
      <c r="E25" s="23"/>
      <c r="F25" s="23"/>
      <c r="G25" s="23"/>
      <c r="H25" s="23"/>
      <c r="I25" s="23"/>
      <c r="J25" s="23"/>
      <c r="K25" s="23"/>
      <c r="L25" s="23"/>
      <c r="M25" s="23"/>
      <c r="N25" s="23"/>
      <c r="O25" s="23"/>
      <c r="P25" s="23"/>
    </row>
    <row r="26" spans="1:16" x14ac:dyDescent="0.25">
      <c r="A26" s="23"/>
      <c r="B26" s="23"/>
      <c r="C26" s="23"/>
      <c r="D26" s="23"/>
      <c r="E26" s="23"/>
      <c r="F26" s="23"/>
      <c r="G26" s="23"/>
      <c r="H26" s="23"/>
      <c r="I26" s="23"/>
      <c r="J26" s="23"/>
      <c r="K26" s="23"/>
      <c r="L26" s="23"/>
      <c r="M26" s="23"/>
      <c r="N26" s="23"/>
      <c r="O26" s="23"/>
      <c r="P26" s="23"/>
    </row>
    <row r="27" spans="1:16" x14ac:dyDescent="0.25">
      <c r="A27" s="23"/>
      <c r="B27" s="23"/>
      <c r="C27" s="23"/>
      <c r="D27" s="23"/>
      <c r="E27" s="23"/>
      <c r="F27" s="23"/>
      <c r="G27" s="23"/>
      <c r="H27" s="23"/>
      <c r="I27" s="23"/>
      <c r="J27" s="23"/>
      <c r="K27" s="23"/>
      <c r="L27" s="23"/>
      <c r="M27" s="23"/>
      <c r="N27" s="23"/>
      <c r="O27" s="23"/>
      <c r="P27" s="23"/>
    </row>
    <row r="28" spans="1:16" x14ac:dyDescent="0.25">
      <c r="A28" s="23"/>
      <c r="B28" s="23"/>
      <c r="C28" s="23"/>
      <c r="D28" s="23"/>
      <c r="E28" s="23"/>
      <c r="F28" s="23"/>
      <c r="G28" s="23"/>
      <c r="H28" s="23"/>
      <c r="I28" s="23"/>
      <c r="J28" s="23"/>
      <c r="K28" s="23"/>
      <c r="L28" s="23"/>
      <c r="M28" s="23"/>
      <c r="N28" s="23"/>
      <c r="O28" s="23"/>
      <c r="P28" s="23"/>
    </row>
    <row r="29" spans="1:16" x14ac:dyDescent="0.25">
      <c r="A29" s="23"/>
      <c r="B29" s="23"/>
      <c r="C29" s="23"/>
      <c r="D29" s="23"/>
      <c r="E29" s="23"/>
      <c r="F29" s="23"/>
      <c r="G29" s="23"/>
      <c r="H29" s="23"/>
      <c r="I29" s="23"/>
      <c r="J29" s="23"/>
      <c r="K29" s="23"/>
      <c r="L29" s="23"/>
      <c r="M29" s="23"/>
      <c r="N29" s="23"/>
      <c r="O29" s="23"/>
      <c r="P29" s="23"/>
    </row>
    <row r="30" spans="1:16" x14ac:dyDescent="0.25">
      <c r="A30" s="23"/>
      <c r="B30" s="23"/>
      <c r="C30" s="23"/>
      <c r="D30" s="23"/>
      <c r="E30" s="23"/>
      <c r="F30" s="23"/>
      <c r="G30" s="23"/>
      <c r="H30" s="23"/>
      <c r="I30" s="23"/>
      <c r="J30" s="23"/>
      <c r="K30" s="23"/>
      <c r="L30" s="23"/>
      <c r="M30" s="23"/>
      <c r="N30" s="23"/>
      <c r="O30" s="23"/>
      <c r="P30" s="23"/>
    </row>
    <row r="31" spans="1:16" x14ac:dyDescent="0.25">
      <c r="A31" s="23"/>
      <c r="B31" s="23"/>
      <c r="C31" s="23"/>
      <c r="D31" s="23"/>
      <c r="E31" s="23"/>
      <c r="F31" s="23"/>
      <c r="G31" s="23"/>
      <c r="H31" s="23"/>
      <c r="I31" s="23"/>
      <c r="J31" s="23"/>
      <c r="K31" s="23"/>
      <c r="L31" s="23"/>
      <c r="M31" s="23"/>
      <c r="N31" s="23"/>
      <c r="O31" s="23"/>
      <c r="P31" s="23"/>
    </row>
    <row r="32" spans="1:16" x14ac:dyDescent="0.25">
      <c r="A32" s="23"/>
      <c r="B32" s="23"/>
      <c r="C32" s="23"/>
      <c r="D32" s="23"/>
      <c r="E32" s="23"/>
      <c r="F32" s="23"/>
      <c r="G32" s="23"/>
      <c r="H32" s="23"/>
      <c r="I32" s="23"/>
      <c r="J32" s="23"/>
      <c r="K32" s="23"/>
      <c r="L32" s="23"/>
      <c r="M32" s="23"/>
      <c r="N32" s="23"/>
      <c r="O32" s="23"/>
      <c r="P32" s="23"/>
    </row>
    <row r="33" spans="1:16" x14ac:dyDescent="0.25">
      <c r="A33" s="23"/>
      <c r="B33" s="23"/>
      <c r="C33" s="23"/>
      <c r="D33" s="23"/>
      <c r="E33" s="23"/>
      <c r="F33" s="23"/>
      <c r="G33" s="23"/>
      <c r="H33" s="23"/>
      <c r="I33" s="23"/>
      <c r="J33" s="23"/>
      <c r="K33" s="23"/>
      <c r="L33" s="23"/>
      <c r="M33" s="23"/>
      <c r="N33" s="23"/>
      <c r="O33" s="23"/>
      <c r="P33" s="23"/>
    </row>
    <row r="34" spans="1:16" x14ac:dyDescent="0.25">
      <c r="A34" s="23"/>
      <c r="B34" s="23"/>
      <c r="C34" s="23"/>
      <c r="D34" s="23"/>
      <c r="E34" s="23"/>
      <c r="F34" s="23"/>
      <c r="G34" s="23"/>
      <c r="H34" s="23"/>
      <c r="I34" s="23"/>
      <c r="J34" s="23"/>
      <c r="K34" s="23"/>
      <c r="L34" s="23"/>
      <c r="M34" s="23"/>
      <c r="N34" s="23"/>
      <c r="O34" s="23"/>
      <c r="P34" s="23"/>
    </row>
    <row r="35" spans="1:16" x14ac:dyDescent="0.25">
      <c r="A35" s="23"/>
      <c r="B35" s="23"/>
      <c r="C35" s="23"/>
      <c r="D35" s="23"/>
      <c r="E35" s="23"/>
      <c r="F35" s="23"/>
      <c r="G35" s="23"/>
      <c r="H35" s="23"/>
      <c r="I35" s="23"/>
      <c r="J35" s="23"/>
      <c r="K35" s="23"/>
      <c r="L35" s="23"/>
      <c r="M35" s="23"/>
      <c r="N35" s="23"/>
      <c r="O35" s="23"/>
      <c r="P35" s="23"/>
    </row>
    <row r="36" spans="1:16" x14ac:dyDescent="0.25">
      <c r="A36" s="23"/>
      <c r="B36" s="23"/>
      <c r="C36" s="23"/>
      <c r="D36" s="23"/>
      <c r="E36" s="23"/>
      <c r="F36" s="23"/>
      <c r="G36" s="23"/>
      <c r="H36" s="23"/>
      <c r="I36" s="23"/>
      <c r="J36" s="23"/>
      <c r="K36" s="23"/>
      <c r="L36" s="23"/>
      <c r="M36" s="23"/>
      <c r="N36" s="23"/>
      <c r="O36" s="23"/>
      <c r="P36" s="23"/>
    </row>
    <row r="37" spans="1:16" x14ac:dyDescent="0.25">
      <c r="A37" s="23"/>
      <c r="B37" s="23"/>
      <c r="C37" s="23"/>
      <c r="D37" s="23"/>
      <c r="E37" s="23"/>
      <c r="F37" s="23"/>
      <c r="G37" s="23"/>
      <c r="H37" s="23"/>
      <c r="I37" s="23"/>
      <c r="J37" s="23"/>
      <c r="K37" s="23"/>
      <c r="L37" s="23"/>
      <c r="M37" s="23"/>
      <c r="N37" s="23"/>
      <c r="O37" s="23"/>
      <c r="P37" s="23"/>
    </row>
    <row r="38" spans="1:16" x14ac:dyDescent="0.25">
      <c r="A38" s="23"/>
      <c r="B38" s="23"/>
      <c r="C38" s="23"/>
      <c r="D38" s="23"/>
      <c r="E38" s="23"/>
      <c r="F38" s="23"/>
      <c r="G38" s="23"/>
      <c r="H38" s="23"/>
      <c r="I38" s="23"/>
      <c r="J38" s="23"/>
      <c r="K38" s="23"/>
      <c r="L38" s="23"/>
      <c r="M38" s="23"/>
      <c r="N38" s="23"/>
      <c r="O38" s="23"/>
      <c r="P38" s="23"/>
    </row>
    <row r="39" spans="1:16" x14ac:dyDescent="0.25">
      <c r="A39" s="23"/>
      <c r="B39" s="23"/>
      <c r="C39" s="23"/>
      <c r="D39" s="23"/>
      <c r="E39" s="23"/>
      <c r="F39" s="23"/>
      <c r="G39" s="23"/>
      <c r="H39" s="23"/>
      <c r="I39" s="23"/>
      <c r="J39" s="23"/>
      <c r="K39" s="23"/>
      <c r="L39" s="23"/>
      <c r="M39" s="23"/>
      <c r="N39" s="23"/>
      <c r="O39" s="23"/>
      <c r="P39" s="23"/>
    </row>
    <row r="40" spans="1:16" x14ac:dyDescent="0.25">
      <c r="A40" s="23"/>
      <c r="B40" s="23"/>
      <c r="C40" s="23"/>
      <c r="D40" s="23"/>
      <c r="E40" s="23"/>
      <c r="F40" s="23"/>
      <c r="G40" s="23"/>
      <c r="H40" s="23"/>
      <c r="I40" s="23"/>
      <c r="J40" s="23"/>
      <c r="K40" s="23"/>
      <c r="L40" s="23"/>
      <c r="M40" s="23"/>
      <c r="N40" s="23"/>
      <c r="O40" s="23"/>
      <c r="P40" s="23"/>
    </row>
    <row r="41" spans="1:16" x14ac:dyDescent="0.25">
      <c r="A41" s="23"/>
      <c r="B41" s="23"/>
      <c r="C41" s="23"/>
      <c r="D41" s="23"/>
      <c r="E41" s="23"/>
      <c r="F41" s="23"/>
      <c r="G41" s="23"/>
      <c r="H41" s="23"/>
      <c r="I41" s="23"/>
      <c r="J41" s="23"/>
      <c r="K41" s="23"/>
      <c r="L41" s="23"/>
      <c r="M41" s="23"/>
      <c r="N41" s="23"/>
      <c r="O41" s="23"/>
      <c r="P41" s="23"/>
    </row>
    <row r="42" spans="1:16" x14ac:dyDescent="0.25">
      <c r="A42" s="23"/>
      <c r="B42" s="23"/>
      <c r="C42" s="23"/>
      <c r="D42" s="23"/>
      <c r="E42" s="23"/>
      <c r="F42" s="23"/>
      <c r="G42" s="23"/>
      <c r="H42" s="23"/>
      <c r="I42" s="23"/>
      <c r="J42" s="23"/>
      <c r="K42" s="23"/>
      <c r="L42" s="23"/>
      <c r="M42" s="23"/>
      <c r="N42" s="23"/>
      <c r="O42" s="23"/>
      <c r="P42" s="23"/>
    </row>
    <row r="43" spans="1:16" x14ac:dyDescent="0.25">
      <c r="A43" s="23"/>
      <c r="B43" s="23"/>
      <c r="C43" s="23"/>
      <c r="D43" s="23"/>
      <c r="E43" s="23"/>
      <c r="F43" s="23"/>
      <c r="G43" s="23"/>
      <c r="H43" s="23"/>
      <c r="I43" s="23"/>
      <c r="J43" s="23"/>
      <c r="K43" s="23"/>
      <c r="L43" s="23"/>
      <c r="M43" s="23"/>
      <c r="N43" s="23"/>
      <c r="O43" s="23"/>
      <c r="P43" s="23"/>
    </row>
    <row r="44" spans="1:16" x14ac:dyDescent="0.25">
      <c r="A44" s="23"/>
      <c r="B44" s="23"/>
      <c r="C44" s="23"/>
      <c r="D44" s="23"/>
      <c r="E44" s="23"/>
      <c r="F44" s="23"/>
      <c r="G44" s="23"/>
      <c r="H44" s="23"/>
      <c r="I44" s="23"/>
      <c r="J44" s="23"/>
      <c r="K44" s="23"/>
      <c r="L44" s="23"/>
      <c r="M44" s="23"/>
      <c r="N44" s="23"/>
      <c r="O44" s="23"/>
      <c r="P44" s="23"/>
    </row>
    <row r="45" spans="1:16" x14ac:dyDescent="0.25">
      <c r="A45" s="23"/>
      <c r="B45" s="23"/>
      <c r="C45" s="23"/>
      <c r="D45" s="23"/>
      <c r="E45" s="23"/>
      <c r="F45" s="23"/>
      <c r="G45" s="23"/>
      <c r="H45" s="23"/>
      <c r="I45" s="23"/>
      <c r="J45" s="23"/>
      <c r="K45" s="23"/>
      <c r="L45" s="23"/>
      <c r="M45" s="23"/>
      <c r="N45" s="23"/>
      <c r="O45" s="23"/>
      <c r="P45" s="23"/>
    </row>
    <row r="46" spans="1:16" x14ac:dyDescent="0.25">
      <c r="A46" s="23"/>
      <c r="B46" s="23"/>
      <c r="C46" s="23"/>
      <c r="D46" s="23"/>
      <c r="E46" s="23"/>
      <c r="F46" s="23"/>
      <c r="G46" s="23"/>
      <c r="H46" s="23"/>
      <c r="I46" s="23"/>
      <c r="J46" s="23"/>
      <c r="K46" s="23"/>
      <c r="L46" s="23"/>
      <c r="M46" s="23"/>
      <c r="N46" s="23"/>
      <c r="O46" s="23"/>
      <c r="P46" s="23"/>
    </row>
    <row r="47" spans="1:16" x14ac:dyDescent="0.25">
      <c r="A47" s="23"/>
      <c r="B47" s="23"/>
      <c r="C47" s="23"/>
      <c r="D47" s="23"/>
      <c r="E47" s="23"/>
      <c r="F47" s="23"/>
      <c r="G47" s="23"/>
      <c r="H47" s="23"/>
      <c r="I47" s="23"/>
      <c r="J47" s="23"/>
      <c r="K47" s="23"/>
      <c r="L47" s="23"/>
      <c r="M47" s="23"/>
      <c r="N47" s="23"/>
      <c r="O47" s="23"/>
      <c r="P47" s="23"/>
    </row>
    <row r="48" spans="1:16" x14ac:dyDescent="0.25">
      <c r="A48" s="23"/>
      <c r="B48" s="23"/>
      <c r="C48" s="23"/>
      <c r="D48" s="23"/>
      <c r="E48" s="23"/>
      <c r="F48" s="23"/>
      <c r="G48" s="23"/>
      <c r="H48" s="23"/>
      <c r="I48" s="23"/>
      <c r="J48" s="23"/>
      <c r="K48" s="23"/>
      <c r="L48" s="23"/>
      <c r="M48" s="23"/>
      <c r="N48" s="23"/>
      <c r="O48" s="23"/>
      <c r="P48" s="23"/>
    </row>
    <row r="49" spans="1:16" x14ac:dyDescent="0.25">
      <c r="A49" s="23"/>
      <c r="B49" s="23"/>
      <c r="C49" s="23"/>
      <c r="D49" s="23"/>
      <c r="E49" s="23"/>
      <c r="F49" s="23"/>
      <c r="G49" s="23"/>
      <c r="H49" s="23"/>
      <c r="I49" s="23"/>
      <c r="J49" s="23"/>
      <c r="K49" s="23"/>
      <c r="L49" s="23"/>
      <c r="M49" s="23"/>
      <c r="N49" s="23"/>
      <c r="O49" s="23"/>
      <c r="P49" s="23"/>
    </row>
    <row r="50" spans="1:16" x14ac:dyDescent="0.25">
      <c r="A50" s="23"/>
      <c r="B50" s="23"/>
      <c r="C50" s="23"/>
      <c r="D50" s="23"/>
      <c r="E50" s="23"/>
      <c r="F50" s="23"/>
      <c r="G50" s="23"/>
      <c r="H50" s="23"/>
      <c r="I50" s="23"/>
      <c r="J50" s="23"/>
      <c r="K50" s="23"/>
      <c r="L50" s="23"/>
      <c r="M50" s="23"/>
      <c r="N50" s="23"/>
      <c r="O50" s="23"/>
      <c r="P50" s="23"/>
    </row>
    <row r="51" spans="1:16" x14ac:dyDescent="0.25">
      <c r="A51" s="23"/>
      <c r="B51" s="23"/>
      <c r="C51" s="23"/>
      <c r="D51" s="23"/>
      <c r="E51" s="23"/>
      <c r="F51" s="23"/>
      <c r="G51" s="23"/>
      <c r="H51" s="23"/>
      <c r="I51" s="23"/>
      <c r="J51" s="23"/>
      <c r="K51" s="23"/>
      <c r="L51" s="23"/>
      <c r="M51" s="23"/>
      <c r="N51" s="23"/>
      <c r="O51" s="23"/>
      <c r="P51" s="23"/>
    </row>
    <row r="52" spans="1:16" x14ac:dyDescent="0.25">
      <c r="A52" s="23"/>
      <c r="B52" s="23"/>
      <c r="C52" s="23"/>
      <c r="D52" s="23"/>
      <c r="E52" s="23"/>
      <c r="F52" s="23"/>
      <c r="G52" s="23"/>
      <c r="H52" s="23"/>
      <c r="I52" s="23"/>
      <c r="J52" s="23"/>
      <c r="K52" s="23"/>
      <c r="L52" s="23"/>
      <c r="M52" s="23"/>
      <c r="N52" s="23"/>
      <c r="O52" s="23"/>
      <c r="P52" s="23"/>
    </row>
    <row r="53" spans="1:16" x14ac:dyDescent="0.25">
      <c r="A53" s="23"/>
      <c r="B53" s="23"/>
      <c r="C53" s="23"/>
      <c r="D53" s="23"/>
      <c r="E53" s="23"/>
      <c r="F53" s="23"/>
      <c r="G53" s="23"/>
      <c r="H53" s="23"/>
      <c r="I53" s="23"/>
      <c r="J53" s="23"/>
      <c r="K53" s="23"/>
      <c r="L53" s="23"/>
      <c r="M53" s="23"/>
      <c r="N53" s="23"/>
      <c r="O53" s="23"/>
      <c r="P53" s="23"/>
    </row>
    <row r="54" spans="1:16" x14ac:dyDescent="0.25">
      <c r="A54" s="23"/>
      <c r="B54" s="23"/>
      <c r="C54" s="23"/>
      <c r="D54" s="23"/>
      <c r="E54" s="23"/>
      <c r="F54" s="23"/>
      <c r="G54" s="23"/>
      <c r="H54" s="23"/>
      <c r="I54" s="23"/>
      <c r="J54" s="23"/>
      <c r="K54" s="23"/>
      <c r="L54" s="23"/>
      <c r="M54" s="23"/>
      <c r="N54" s="23"/>
      <c r="O54" s="23"/>
      <c r="P54" s="23"/>
    </row>
    <row r="55" spans="1:16" x14ac:dyDescent="0.25">
      <c r="A55" s="23"/>
      <c r="B55" s="23"/>
      <c r="C55" s="23"/>
      <c r="D55" s="23"/>
      <c r="E55" s="23"/>
      <c r="F55" s="23"/>
      <c r="G55" s="23"/>
      <c r="H55" s="23"/>
      <c r="I55" s="23"/>
      <c r="J55" s="23"/>
      <c r="K55" s="23"/>
      <c r="L55" s="23"/>
      <c r="M55" s="23"/>
      <c r="N55" s="23"/>
      <c r="O55" s="23"/>
      <c r="P55" s="23"/>
    </row>
    <row r="56" spans="1:16" x14ac:dyDescent="0.25">
      <c r="A56" s="23"/>
      <c r="B56" s="23"/>
      <c r="C56" s="23"/>
      <c r="D56" s="23"/>
      <c r="E56" s="23"/>
      <c r="F56" s="23"/>
      <c r="G56" s="23"/>
      <c r="H56" s="23"/>
      <c r="I56" s="23"/>
      <c r="J56" s="23"/>
      <c r="K56" s="23"/>
      <c r="L56" s="23"/>
      <c r="M56" s="23"/>
      <c r="N56" s="23"/>
      <c r="O56" s="23"/>
      <c r="P56" s="23"/>
    </row>
    <row r="57" spans="1:16" x14ac:dyDescent="0.25">
      <c r="A57" s="23"/>
      <c r="B57" s="23"/>
      <c r="C57" s="23"/>
      <c r="D57" s="23"/>
      <c r="E57" s="23"/>
      <c r="F57" s="23"/>
      <c r="G57" s="23"/>
      <c r="H57" s="23"/>
      <c r="I57" s="23"/>
      <c r="J57" s="23"/>
      <c r="K57" s="23"/>
      <c r="L57" s="23"/>
      <c r="M57" s="23"/>
      <c r="N57" s="23"/>
      <c r="O57" s="23"/>
      <c r="P57" s="23"/>
    </row>
    <row r="58" spans="1:16" x14ac:dyDescent="0.25">
      <c r="A58" s="23"/>
      <c r="B58" s="23"/>
      <c r="C58" s="23"/>
      <c r="D58" s="23"/>
      <c r="E58" s="23"/>
      <c r="F58" s="23"/>
      <c r="G58" s="23"/>
      <c r="H58" s="23"/>
      <c r="I58" s="23"/>
      <c r="J58" s="23"/>
      <c r="K58" s="23"/>
      <c r="L58" s="23"/>
      <c r="M58" s="23"/>
      <c r="N58" s="23"/>
      <c r="O58" s="23"/>
      <c r="P58" s="23"/>
    </row>
    <row r="59" spans="1:16" x14ac:dyDescent="0.25">
      <c r="A59" s="23"/>
      <c r="B59" s="23"/>
      <c r="C59" s="23"/>
      <c r="D59" s="23"/>
      <c r="E59" s="23"/>
      <c r="F59" s="23"/>
      <c r="G59" s="23"/>
      <c r="H59" s="23"/>
      <c r="I59" s="23"/>
      <c r="J59" s="23"/>
      <c r="K59" s="23"/>
      <c r="L59" s="23"/>
      <c r="M59" s="23"/>
      <c r="N59" s="23"/>
      <c r="O59" s="23"/>
      <c r="P59" s="23"/>
    </row>
    <row r="60" spans="1:16" x14ac:dyDescent="0.25">
      <c r="A60" s="23"/>
      <c r="B60" s="23"/>
      <c r="C60" s="23"/>
      <c r="D60" s="23"/>
      <c r="E60" s="23"/>
      <c r="F60" s="23"/>
      <c r="G60" s="23"/>
      <c r="H60" s="23"/>
      <c r="I60" s="23"/>
      <c r="J60" s="23"/>
      <c r="K60" s="23"/>
      <c r="L60" s="23"/>
      <c r="M60" s="23"/>
      <c r="N60" s="23"/>
      <c r="O60" s="23"/>
      <c r="P60" s="23"/>
    </row>
  </sheetData>
  <mergeCells count="1">
    <mergeCell ref="B2:M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6A553-BCA4-4E75-A5E2-E9ED7F85603A}">
  <dimension ref="B2:B24"/>
  <sheetViews>
    <sheetView showGridLines="0" topLeftCell="A11" workbookViewId="0"/>
  </sheetViews>
  <sheetFormatPr defaultRowHeight="15" x14ac:dyDescent="0.25"/>
  <cols>
    <col min="1" max="1" width="2.625" customWidth="1"/>
    <col min="2" max="2" width="103.375" customWidth="1"/>
  </cols>
  <sheetData>
    <row r="2" spans="2:2" ht="20.25" x14ac:dyDescent="0.35">
      <c r="B2" s="3" t="s">
        <v>63</v>
      </c>
    </row>
    <row r="3" spans="2:2" x14ac:dyDescent="0.25">
      <c r="B3" s="4" t="s">
        <v>164</v>
      </c>
    </row>
    <row r="5" spans="2:2" x14ac:dyDescent="0.25">
      <c r="B5" s="34" t="s">
        <v>64</v>
      </c>
    </row>
    <row r="6" spans="2:2" ht="140.25" x14ac:dyDescent="0.25">
      <c r="B6" s="35" t="s">
        <v>165</v>
      </c>
    </row>
    <row r="7" spans="2:2" ht="76.5" x14ac:dyDescent="0.25">
      <c r="B7" s="35" t="s">
        <v>166</v>
      </c>
    </row>
    <row r="8" spans="2:2" x14ac:dyDescent="0.25">
      <c r="B8" s="36"/>
    </row>
    <row r="9" spans="2:2" x14ac:dyDescent="0.25">
      <c r="B9" s="37" t="s">
        <v>65</v>
      </c>
    </row>
    <row r="10" spans="2:2" ht="336" x14ac:dyDescent="0.25">
      <c r="B10" s="53" t="s">
        <v>167</v>
      </c>
    </row>
    <row r="11" spans="2:2" ht="156" x14ac:dyDescent="0.25">
      <c r="B11" s="53" t="s">
        <v>168</v>
      </c>
    </row>
    <row r="12" spans="2:2" x14ac:dyDescent="0.25">
      <c r="B12" s="36"/>
    </row>
    <row r="13" spans="2:2" x14ac:dyDescent="0.25">
      <c r="B13" s="37" t="s">
        <v>66</v>
      </c>
    </row>
    <row r="14" spans="2:2" ht="63.75" x14ac:dyDescent="0.25">
      <c r="B14" s="35" t="s">
        <v>169</v>
      </c>
    </row>
    <row r="15" spans="2:2" ht="63.75" x14ac:dyDescent="0.25">
      <c r="B15" s="35" t="s">
        <v>67</v>
      </c>
    </row>
    <row r="16" spans="2:2" ht="89.25" x14ac:dyDescent="0.25">
      <c r="B16" s="35" t="s">
        <v>170</v>
      </c>
    </row>
    <row r="17" spans="2:2" ht="114.75" x14ac:dyDescent="0.25">
      <c r="B17" s="35" t="s">
        <v>171</v>
      </c>
    </row>
    <row r="18" spans="2:2" ht="89.25" x14ac:dyDescent="0.25">
      <c r="B18" s="35" t="s">
        <v>172</v>
      </c>
    </row>
    <row r="19" spans="2:2" ht="76.5" x14ac:dyDescent="0.25">
      <c r="B19" s="35" t="s">
        <v>173</v>
      </c>
    </row>
    <row r="20" spans="2:2" ht="76.5" x14ac:dyDescent="0.25">
      <c r="B20" s="35" t="s">
        <v>174</v>
      </c>
    </row>
    <row r="21" spans="2:2" ht="63.75" x14ac:dyDescent="0.25">
      <c r="B21" s="35" t="s">
        <v>175</v>
      </c>
    </row>
    <row r="22" spans="2:2" ht="89.25" x14ac:dyDescent="0.25">
      <c r="B22" s="35" t="s">
        <v>176</v>
      </c>
    </row>
    <row r="24" spans="2:2" ht="24" x14ac:dyDescent="0.25">
      <c r="B24" s="70" t="s">
        <v>219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FC89E-AE94-48FB-B067-1CE26AE5631C}">
  <dimension ref="B2:D36"/>
  <sheetViews>
    <sheetView showGridLines="0" workbookViewId="0"/>
  </sheetViews>
  <sheetFormatPr defaultRowHeight="15" x14ac:dyDescent="0.25"/>
  <cols>
    <col min="1" max="1" width="2.625" customWidth="1"/>
    <col min="2" max="2" width="25" customWidth="1"/>
    <col min="3" max="3" width="29.125" customWidth="1"/>
    <col min="4" max="4" width="78.375" customWidth="1"/>
  </cols>
  <sheetData>
    <row r="2" spans="2:4" ht="20.25" x14ac:dyDescent="0.35">
      <c r="B2" s="3" t="s">
        <v>68</v>
      </c>
    </row>
    <row r="3" spans="2:4" x14ac:dyDescent="0.25">
      <c r="B3" s="4" t="s">
        <v>177</v>
      </c>
    </row>
    <row r="5" spans="2:4" ht="17.25" x14ac:dyDescent="0.3">
      <c r="B5" s="40" t="s">
        <v>69</v>
      </c>
      <c r="C5" s="8"/>
      <c r="D5" s="8"/>
    </row>
    <row r="6" spans="2:4" ht="16.5" x14ac:dyDescent="0.3">
      <c r="B6" s="9" t="s">
        <v>178</v>
      </c>
      <c r="C6" s="8"/>
      <c r="D6" s="8"/>
    </row>
    <row r="7" spans="2:4" ht="16.5" x14ac:dyDescent="0.3">
      <c r="B7" s="9" t="s">
        <v>179</v>
      </c>
      <c r="C7" s="8"/>
      <c r="D7" s="8"/>
    </row>
    <row r="8" spans="2:4" ht="16.5" x14ac:dyDescent="0.3">
      <c r="B8" s="9" t="s">
        <v>180</v>
      </c>
      <c r="C8" s="8"/>
      <c r="D8" s="8"/>
    </row>
    <row r="9" spans="2:4" ht="16.5" x14ac:dyDescent="0.3">
      <c r="B9" s="9" t="s">
        <v>181</v>
      </c>
      <c r="C9" s="8"/>
      <c r="D9" s="8"/>
    </row>
    <row r="10" spans="2:4" ht="16.5" x14ac:dyDescent="0.3">
      <c r="B10" s="8"/>
      <c r="C10" s="8"/>
      <c r="D10" s="8"/>
    </row>
    <row r="11" spans="2:4" ht="17.25" x14ac:dyDescent="0.3">
      <c r="B11" s="40" t="s">
        <v>70</v>
      </c>
      <c r="C11" s="8"/>
      <c r="D11" s="8"/>
    </row>
    <row r="12" spans="2:4" ht="16.5" x14ac:dyDescent="0.25">
      <c r="B12" s="38" t="s">
        <v>71</v>
      </c>
      <c r="C12" s="54" t="s">
        <v>72</v>
      </c>
      <c r="D12" s="55" t="s">
        <v>73</v>
      </c>
    </row>
    <row r="13" spans="2:4" ht="24" x14ac:dyDescent="0.25">
      <c r="B13" s="56" t="s">
        <v>60</v>
      </c>
      <c r="C13" s="57" t="s">
        <v>74</v>
      </c>
      <c r="D13" s="58" t="s">
        <v>75</v>
      </c>
    </row>
    <row r="14" spans="2:4" ht="48" x14ac:dyDescent="0.25">
      <c r="B14" s="56" t="s">
        <v>61</v>
      </c>
      <c r="C14" s="57" t="s">
        <v>182</v>
      </c>
      <c r="D14" s="58" t="s">
        <v>76</v>
      </c>
    </row>
    <row r="15" spans="2:4" ht="36" x14ac:dyDescent="0.25">
      <c r="B15" s="56" t="s">
        <v>161</v>
      </c>
      <c r="C15" s="57" t="s">
        <v>183</v>
      </c>
      <c r="D15" s="58" t="s">
        <v>184</v>
      </c>
    </row>
    <row r="16" spans="2:4" ht="60" x14ac:dyDescent="0.25">
      <c r="B16" s="56" t="s">
        <v>162</v>
      </c>
      <c r="C16" s="57" t="s">
        <v>185</v>
      </c>
      <c r="D16" s="58" t="s">
        <v>186</v>
      </c>
    </row>
    <row r="17" spans="2:4" ht="60" x14ac:dyDescent="0.25">
      <c r="B17" s="56" t="s">
        <v>187</v>
      </c>
      <c r="C17" s="57" t="s">
        <v>188</v>
      </c>
      <c r="D17" s="58" t="s">
        <v>189</v>
      </c>
    </row>
    <row r="18" spans="2:4" ht="36" x14ac:dyDescent="0.25">
      <c r="B18" s="56" t="s">
        <v>62</v>
      </c>
      <c r="C18" s="57" t="s">
        <v>77</v>
      </c>
      <c r="D18" s="58" t="s">
        <v>78</v>
      </c>
    </row>
    <row r="19" spans="2:4" ht="84" x14ac:dyDescent="0.25">
      <c r="B19" s="59" t="s">
        <v>190</v>
      </c>
      <c r="C19" s="60" t="s">
        <v>191</v>
      </c>
      <c r="D19" s="61" t="s">
        <v>192</v>
      </c>
    </row>
    <row r="20" spans="2:4" ht="16.5" x14ac:dyDescent="0.3">
      <c r="B20" s="8"/>
      <c r="C20" s="8"/>
      <c r="D20" s="8"/>
    </row>
    <row r="21" spans="2:4" ht="17.25" x14ac:dyDescent="0.3">
      <c r="B21" s="40" t="s">
        <v>193</v>
      </c>
      <c r="C21" s="8"/>
      <c r="D21" s="8"/>
    </row>
    <row r="22" spans="2:4" ht="16.5" x14ac:dyDescent="0.25">
      <c r="B22" s="62" t="s">
        <v>79</v>
      </c>
      <c r="C22" s="63" t="s">
        <v>12</v>
      </c>
      <c r="D22" s="64" t="s">
        <v>80</v>
      </c>
    </row>
    <row r="23" spans="2:4" ht="16.5" x14ac:dyDescent="0.25">
      <c r="B23" s="56" t="s">
        <v>194</v>
      </c>
      <c r="C23" s="65" t="s">
        <v>81</v>
      </c>
      <c r="D23" s="66" t="s">
        <v>195</v>
      </c>
    </row>
    <row r="24" spans="2:4" ht="16.5" x14ac:dyDescent="0.25">
      <c r="B24" s="56" t="s">
        <v>196</v>
      </c>
      <c r="C24" s="65" t="s">
        <v>82</v>
      </c>
      <c r="D24" s="66" t="s">
        <v>197</v>
      </c>
    </row>
    <row r="25" spans="2:4" ht="16.5" x14ac:dyDescent="0.25">
      <c r="B25" s="56" t="s">
        <v>83</v>
      </c>
      <c r="C25" s="65" t="s">
        <v>84</v>
      </c>
      <c r="D25" s="66" t="s">
        <v>198</v>
      </c>
    </row>
    <row r="26" spans="2:4" ht="16.5" x14ac:dyDescent="0.25">
      <c r="B26" s="56" t="s">
        <v>85</v>
      </c>
      <c r="C26" s="65" t="s">
        <v>86</v>
      </c>
      <c r="D26" s="66" t="s">
        <v>199</v>
      </c>
    </row>
    <row r="27" spans="2:4" ht="16.5" x14ac:dyDescent="0.25">
      <c r="B27" s="56" t="s">
        <v>200</v>
      </c>
      <c r="C27" s="65" t="s">
        <v>201</v>
      </c>
      <c r="D27" s="66" t="s">
        <v>202</v>
      </c>
    </row>
    <row r="28" spans="2:4" ht="16.5" x14ac:dyDescent="0.25">
      <c r="B28" s="56" t="s">
        <v>203</v>
      </c>
      <c r="C28" s="65" t="s">
        <v>86</v>
      </c>
      <c r="D28" s="66" t="s">
        <v>204</v>
      </c>
    </row>
    <row r="29" spans="2:4" ht="16.5" x14ac:dyDescent="0.25">
      <c r="B29" s="56" t="s">
        <v>205</v>
      </c>
      <c r="C29" s="65" t="s">
        <v>206</v>
      </c>
      <c r="D29" s="66" t="s">
        <v>207</v>
      </c>
    </row>
    <row r="30" spans="2:4" ht="16.5" x14ac:dyDescent="0.25">
      <c r="B30" s="56" t="s">
        <v>87</v>
      </c>
      <c r="C30" s="65" t="s">
        <v>208</v>
      </c>
      <c r="D30" s="66" t="s">
        <v>209</v>
      </c>
    </row>
    <row r="31" spans="2:4" ht="16.5" x14ac:dyDescent="0.25">
      <c r="B31" s="59" t="s">
        <v>88</v>
      </c>
      <c r="C31" s="67" t="s">
        <v>89</v>
      </c>
      <c r="D31" s="68" t="s">
        <v>210</v>
      </c>
    </row>
    <row r="32" spans="2:4" ht="16.5" x14ac:dyDescent="0.3">
      <c r="B32" s="8"/>
      <c r="C32" s="8"/>
      <c r="D32" s="8"/>
    </row>
    <row r="33" spans="2:4" ht="17.25" x14ac:dyDescent="0.3">
      <c r="B33" s="40" t="s">
        <v>90</v>
      </c>
      <c r="C33" s="8"/>
      <c r="D33" s="8"/>
    </row>
    <row r="34" spans="2:4" ht="16.5" x14ac:dyDescent="0.3">
      <c r="B34" s="9" t="s">
        <v>211</v>
      </c>
      <c r="C34" s="8"/>
      <c r="D34" s="8"/>
    </row>
    <row r="36" spans="2:4" x14ac:dyDescent="0.25">
      <c r="B36" s="71" t="s">
        <v>219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Data</vt:lpstr>
      <vt:lpstr>Analysis</vt:lpstr>
      <vt:lpstr>Dashboard</vt:lpstr>
      <vt:lpstr>SQL</vt:lpstr>
      <vt:lpstr>BI Guide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Ruben  Santana</dc:creator>
  <cp:lastModifiedBy>Ruben  Santana</cp:lastModifiedBy>
  <dcterms:created xsi:type="dcterms:W3CDTF">2026-06-27T19:01:05Z</dcterms:created>
  <dcterms:modified xsi:type="dcterms:W3CDTF">2026-06-27T20:09:43Z</dcterms:modified>
</cp:coreProperties>
</file>